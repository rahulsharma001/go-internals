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7fac0a4a3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b244775a69e4139"/>
    <x:sheet xmlns:r="http://schemas.openxmlformats.org/officeDocument/2006/relationships" name="7-Day Plan" sheetId="2" r:id="Rb4609f7f015e4958"/>
    <x:sheet xmlns:r="http://schemas.openxmlformats.org/officeDocument/2006/relationships" name="Go Syntax Checklist" sheetId="3" r:id="R78eb3ae224d04f33"/>
    <x:sheet xmlns:r="http://schemas.openxmlformats.org/officeDocument/2006/relationships" name="Mistake Log" sheetId="4" r:id="R51082b015d0a4f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dd-mmm-yyyy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7c49ce2b264913" /><Relationship Type="http://schemas.openxmlformats.org/officeDocument/2006/relationships/theme" Target="/xl/theme/theme1.xml" Id="R1271eee459d14e15" /><Relationship Type="http://schemas.openxmlformats.org/officeDocument/2006/relationships/sharedStrings" Target="/xl/sharedStrings.xml" Id="Rf05ec61ce1b3450a" /><Relationship Type="http://schemas.openxmlformats.org/officeDocument/2006/relationships/worksheet" Target="/xl/worksheets/sheet1.xml" Id="R7b244775a69e4139" /><Relationship Type="http://schemas.openxmlformats.org/officeDocument/2006/relationships/worksheet" Target="/xl/worksheets/sheet2.xml" Id="Rb4609f7f015e4958" /><Relationship Type="http://schemas.openxmlformats.org/officeDocument/2006/relationships/worksheet" Target="/xl/worksheets/sheet3.xml" Id="R78eb3ae224d04f33" /><Relationship Type="http://schemas.openxmlformats.org/officeDocument/2006/relationships/worksheet" Target="/xl/worksheets/sheet4.xml" Id="R51082b015d0a4f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f752670dae4c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Task Completion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Tasks</c:v>
          </c:tx>
          <c:cat>
            <c:strRef>
              <c:f>'Dashboard'!$D$5:$D$11</c:f>
              <c:strCache>
                <c:ptCount val="0"/>
              </c:strCache>
            </c:strRef>
          </c:cat>
          <c:val>
            <c:numRef>
              <c:f>'Dashboard'!$E$5:$E$11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Done</c:v>
          </c:tx>
          <c:cat>
            <c:strRef>
              <c:f>'Dashboard'!$D$5:$D$11</c:f>
              <c:strCache>
                <c:ptCount val="0"/>
              </c:strCache>
            </c:strRef>
          </c:cat>
          <c:val>
            <c:numRef>
              <c:f>'Dashboard'!$F$5:$F$11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f752670dae4c7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oPlanTable" displayName="GoPlanTable" ref="A1:Q52" headerRowCount="1">
  <x:tableColumns count="17">
    <x:tableColumn id="1" name="Day"/>
    <x:tableColumn id="2" name="Date"/>
    <x:tableColumn id="3" name="Order"/>
    <x:tableColumn id="4" name="Category"/>
    <x:tableColumn id="5" name="Problem / Drill"/>
    <x:tableColumn id="6" name="Required Output"/>
    <x:tableColumn id="7" name="Difficulty"/>
    <x:tableColumn id="8" name="Est. Min"/>
    <x:tableColumn id="9" name="LeetCode Link"/>
    <x:tableColumn id="10" name="Key Learning"/>
    <x:tableColumn id="11" name="Status"/>
    <x:tableColumn id="12" name="Actual Min"/>
    <x:tableColumn id="13" name="Attempt 1 Result"/>
    <x:tableColumn id="14" name="Rewrite Without Hint?"/>
    <x:tableColumn id="15" name="Confidence (1-5)"/>
    <x:tableColumn id="16" name="Mistake / Blocker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yntaxChecklistTable" displayName="SyntaxChecklistTable" ref="A1:D10" headerRowCount="1">
  <x:tableColumns count="4">
    <x:tableColumn id="1" name="Topic"/>
    <x:tableColumn id="2" name="Must Write Without Reference"/>
    <x:tableColumn id="3" name="Interview Check"/>
    <x:tableColumn id="4" name="Mastered?"/>
  </x:tableColumns>
  <x:tableStyleInfo name="TableStyleMedium2" showRowStripes="1"/>
</x:table>
</file>

<file path=xl/tables/table3.xml><?xml version="1.0" encoding="utf-8"?>
<x:table xmlns:x="http://schemas.openxmlformats.org/spreadsheetml/2006/main" id="3" name="MistakeLogTable" displayName="MistakeLogTable" ref="A1:J31" headerRowCount="1">
  <x:tableColumns count="10">
    <x:tableColumn id="1" name="Date"/>
    <x:tableColumn id="2" name="Problem"/>
    <x:tableColumn id="3" name="Error Type"/>
    <x:tableColumn id="4" name="What I Wrote / Thought"/>
    <x:tableColumn id="5" name="Correct Pattern"/>
    <x:tableColumn id="6" name="Root Cause"/>
    <x:tableColumn id="7" name="Fix Drill"/>
    <x:tableColumn id="8" name="Repeated?"/>
    <x:tableColumn id="9" name="Resolved?"/>
    <x:tableColumn id="10" name="Re-test 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3a438c710b249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62f212d6cc4c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cea030f5484c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512cde99434e6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4" max="4" width="10" hidden="0" customWidth="1"/>
    <x:col min="5" max="5" width="10" hidden="0" customWidth="1"/>
    <x:col min="6" max="6" width="12" hidden="0" customWidth="1"/>
    <x:col min="7" max="7" width="14" hidden="0" customWidth="1"/>
  </x:cols>
  <x:sheetData>
    <x:row r="1" ht="28" customHeight="1">
      <x:c r="A1" s="36" t="str">
        <x:v>7-Day Go Implementation Recovery Plan</x:v>
      </x:c>
      <x:c r="B1" s="36"/>
      <x:c r="C1" s="36"/>
      <x:c r="D1" s="36"/>
      <x:c r="E1" s="36"/>
      <x:c r="F1" s="36"/>
      <x:c r="G1" s="36"/>
      <x:c r="H1" s="36"/>
    </x:row>
    <x:row r="2" ht="28" customHeight="1">
      <x:c r="A2" s="37" t="str">
        <x:v>Primary goal: eliminate basic Go syntax failures under interview pressure. Complete every task from a blank editor.</x:v>
      </x:c>
      <x:c r="B2" s="37"/>
      <x:c r="C2" s="37"/>
      <x:c r="D2" s="37"/>
      <x:c r="E2" s="37"/>
      <x:c r="F2" s="37"/>
      <x:c r="G2" s="37"/>
      <x:c r="H2" s="37"/>
    </x:row>
    <x:row r="3">
      <x:c r="A3" s="38"/>
      <x:c r="B3" s="38"/>
      <x:c r="C3" s="38"/>
      <x:c r="D3" s="38"/>
      <x:c r="E3" s="38"/>
      <x:c r="F3" s="38"/>
      <x:c r="G3" s="38"/>
      <x:c r="H3" s="38"/>
    </x:row>
    <x:row r="4">
      <x:c r="A4" s="26" t="str">
        <x:v>Metric</x:v>
      </x:c>
      <x:c r="B4" s="26" t="str">
        <x:v>Value</x:v>
      </x:c>
      <x:c r="C4" s="38"/>
      <x:c r="D4" s="26" t="str">
        <x:v>Day</x:v>
      </x:c>
      <x:c r="E4" s="26" t="str">
        <x:v>Tasks</x:v>
      </x:c>
      <x:c r="F4" s="26" t="str">
        <x:v>Done</x:v>
      </x:c>
      <x:c r="G4" s="26" t="str">
        <x:v>Completion %</x:v>
      </x:c>
      <x:c r="H4" s="38"/>
    </x:row>
    <x:row r="5">
      <x:c r="A5" s="38" t="str">
        <x:v>Total Tasks</x:v>
      </x:c>
      <x:c r="B5" s="38" t="n">
        <x:v>51</x:v>
      </x:c>
      <x:c r="C5" s="38"/>
      <x:c r="D5" s="38" t="n">
        <x:v>1</x:v>
      </x:c>
      <x:c r="E5" s="38" t="n">
        <x:f>COUNTIF('7-Day Plan'!$A$2:$A$200,D5)</x:f>
        <x:v>7</x:v>
      </x:c>
      <x:c r="F5" s="38" t="n">
        <x:f>COUNTIFS('7-Day Plan'!$A$2:$A$200,D5,'7-Day Plan'!$K$2:$K$200,"Done")</x:f>
        <x:v>0</x:v>
      </x:c>
      <x:c r="G5" s="39" t="n">
        <x:f>IF(E5=0,0,F5/E5)</x:f>
        <x:v>0</x:v>
      </x:c>
      <x:c r="H5" s="38"/>
    </x:row>
    <x:row r="6">
      <x:c r="A6" s="38" t="str">
        <x:v>Completed</x:v>
      </x:c>
      <x:c r="B6" s="38" t="n">
        <x:f>COUNTIF('7-Day Plan'!$K$2:$K$200,"Done")</x:f>
        <x:v>0</x:v>
      </x:c>
      <x:c r="C6" s="38"/>
      <x:c r="D6" s="38" t="n">
        <x:v>2</x:v>
      </x:c>
      <x:c r="E6" s="38" t="n">
        <x:f>COUNTIF('7-Day Plan'!$A$2:$A$200,D6)</x:f>
        <x:v>7</x:v>
      </x:c>
      <x:c r="F6" s="38" t="n">
        <x:f>COUNTIFS('7-Day Plan'!$A$2:$A$200,D6,'7-Day Plan'!$K$2:$K$200,"Done")</x:f>
        <x:v>0</x:v>
      </x:c>
      <x:c r="G6" s="39" t="n">
        <x:f>IF(E6=0,0,F6/E6)</x:f>
        <x:v>0</x:v>
      </x:c>
      <x:c r="H6" s="38"/>
    </x:row>
    <x:row r="7">
      <x:c r="A7" s="38" t="str">
        <x:v>In Progress</x:v>
      </x:c>
      <x:c r="B7" s="38" t="n">
        <x:f>COUNTIF('7-Day Plan'!$K$2:$K$200,"In Progress")</x:f>
        <x:v>0</x:v>
      </x:c>
      <x:c r="C7" s="38"/>
      <x:c r="D7" s="38" t="n">
        <x:v>3</x:v>
      </x:c>
      <x:c r="E7" s="38" t="n">
        <x:f>COUNTIF('7-Day Plan'!$A$2:$A$200,D7)</x:f>
        <x:v>7</x:v>
      </x:c>
      <x:c r="F7" s="38" t="n">
        <x:f>COUNTIFS('7-Day Plan'!$A$2:$A$200,D7,'7-Day Plan'!$K$2:$K$200,"Done")</x:f>
        <x:v>0</x:v>
      </x:c>
      <x:c r="G7" s="39" t="n">
        <x:f>IF(E7=0,0,F7/E7)</x:f>
        <x:v>0</x:v>
      </x:c>
      <x:c r="H7" s="38"/>
    </x:row>
    <x:row r="8">
      <x:c r="A8" s="38" t="str">
        <x:v>Completion %</x:v>
      </x:c>
      <x:c r="B8" s="39" t="n">
        <x:f>IF(B5=0,0,B6/B5)</x:f>
        <x:v>0</x:v>
      </x:c>
      <x:c r="C8" s="38"/>
      <x:c r="D8" s="38" t="n">
        <x:v>4</x:v>
      </x:c>
      <x:c r="E8" s="38" t="n">
        <x:f>COUNTIF('7-Day Plan'!$A$2:$A$200,D8)</x:f>
        <x:v>8</x:v>
      </x:c>
      <x:c r="F8" s="38" t="n">
        <x:f>COUNTIFS('7-Day Plan'!$A$2:$A$200,D8,'7-Day Plan'!$K$2:$K$200,"Done")</x:f>
        <x:v>0</x:v>
      </x:c>
      <x:c r="G8" s="39" t="n">
        <x:f>IF(E8=0,0,F8/E8)</x:f>
        <x:v>0</x:v>
      </x:c>
      <x:c r="H8" s="38"/>
    </x:row>
    <x:row r="9">
      <x:c r="A9" s="38" t="str">
        <x:v>Planned Minutes</x:v>
      </x:c>
      <x:c r="B9" s="38" t="n">
        <x:v>1800</x:v>
      </x:c>
      <x:c r="C9" s="38"/>
      <x:c r="D9" s="38" t="n">
        <x:v>5</x:v>
      </x:c>
      <x:c r="E9" s="38" t="n">
        <x:f>COUNTIF('7-Day Plan'!$A$2:$A$200,D9)</x:f>
        <x:v>7</x:v>
      </x:c>
      <x:c r="F9" s="38" t="n">
        <x:f>COUNTIFS('7-Day Plan'!$A$2:$A$200,D9,'7-Day Plan'!$K$2:$K$200,"Done")</x:f>
        <x:v>0</x:v>
      </x:c>
      <x:c r="G9" s="39" t="n">
        <x:f>IF(E9=0,0,F9/E9)</x:f>
        <x:v>0</x:v>
      </x:c>
      <x:c r="H9" s="38"/>
    </x:row>
    <x:row r="10">
      <x:c r="A10" s="38"/>
      <x:c r="B10" s="38"/>
      <x:c r="C10" s="38"/>
      <x:c r="D10" s="38" t="n">
        <x:v>6</x:v>
      </x:c>
      <x:c r="E10" s="38" t="n">
        <x:f>COUNTIF('7-Day Plan'!$A$2:$A$200,D10)</x:f>
        <x:v>7</x:v>
      </x:c>
      <x:c r="F10" s="38" t="n">
        <x:f>COUNTIFS('7-Day Plan'!$A$2:$A$200,D10,'7-Day Plan'!$K$2:$K$200,"Done")</x:f>
        <x:v>0</x:v>
      </x:c>
      <x:c r="G10" s="39" t="n">
        <x:f>IF(E10=0,0,F10/E10)</x:f>
        <x:v>0</x:v>
      </x:c>
      <x:c r="H10" s="38"/>
    </x:row>
    <x:row r="11">
      <x:c r="A11" s="38"/>
      <x:c r="B11" s="38"/>
      <x:c r="C11" s="38"/>
      <x:c r="D11" s="38" t="n">
        <x:v>7</x:v>
      </x:c>
      <x:c r="E11" s="38" t="n">
        <x:f>COUNTIF('7-Day Plan'!$A$2:$A$200,D11)</x:f>
        <x:v>8</x:v>
      </x:c>
      <x:c r="F11" s="38" t="n">
        <x:f>COUNTIFS('7-Day Plan'!$A$2:$A$200,D11,'7-Day Plan'!$K$2:$K$200,"Done")</x:f>
        <x:v>0</x:v>
      </x:c>
      <x:c r="G11" s="39" t="n">
        <x:f>IF(E11=0,0,F11/E11)</x:f>
        <x:v>0</x:v>
      </x:c>
      <x:c r="H11" s="38"/>
    </x:row>
    <x:row r="12">
      <x:c r="A12" s="40" t="str">
        <x:v>Non-negotiable Rules</x:v>
      </x:c>
      <x:c r="B12" s="40" t="str"/>
      <x:c r="C12" s="38"/>
      <x:c r="D12" s="38" t="str">
        <x:v>Overall</x:v>
      </x:c>
      <x:c r="E12" s="38" t="n">
        <x:f>SUM(E5:E11)</x:f>
        <x:v>51</x:v>
      </x:c>
      <x:c r="F12" s="38" t="n">
        <x:f>SUM(F5:F11)</x:f>
        <x:v>0</x:v>
      </x:c>
      <x:c r="G12" s="39" t="n">
        <x:f>IF(E12=0,0,F12/E12)</x:f>
        <x:v>0</x:v>
      </x:c>
      <x:c r="H12" s="38"/>
    </x:row>
    <x:row r="13">
      <x:c r="A13" s="38" t="str">
        <x:v>1</x:v>
      </x:c>
      <x:c r="B13" s="38" t="str">
        <x:v>Write from a blank editor before checking any reference.</x:v>
      </x:c>
      <x:c r="C13" s="38"/>
      <x:c r="D13" s="38"/>
      <x:c r="E13" s="38"/>
      <x:c r="F13" s="38"/>
      <x:c r="G13" s="38"/>
      <x:c r="H13" s="38"/>
    </x:row>
    <x:row r="14">
      <x:c r="A14" s="38" t="str">
        <x:v>2</x:v>
      </x:c>
      <x:c r="B14" s="38" t="str">
        <x:v>Every solution must include a complete main() test.</x:v>
      </x:c>
      <x:c r="C14" s="38"/>
      <x:c r="D14" s="38"/>
      <x:c r="E14" s="38"/>
      <x:c r="F14" s="38"/>
      <x:c r="G14" s="38"/>
      <x:c r="H14" s="38"/>
    </x:row>
    <x:row r="15">
      <x:c r="A15" s="38" t="str">
        <x:v>3</x:v>
      </x:c>
      <x:c r="B15" s="38" t="str">
        <x:v>Use Go only for DSA during this week.</x:v>
      </x:c>
      <x:c r="C15" s="38"/>
      <x:c r="D15" s="38"/>
      <x:c r="E15" s="38"/>
      <x:c r="F15" s="38"/>
      <x:c r="G15" s="38"/>
      <x:c r="H15" s="38"/>
    </x:row>
    <x:row r="16">
      <x:c r="A16" s="38" t="str">
        <x:v>4</x:v>
      </x:c>
      <x:c r="B16" s="38" t="str">
        <x:v>Record every syntax or logic failure in Mistake Log.</x:v>
      </x:c>
      <x:c r="C16" s="38"/>
      <x:c r="D16" s="38"/>
      <x:c r="E16" s="38"/>
      <x:c r="F16" s="38"/>
      <x:c r="G16" s="38"/>
      <x:c r="H16" s="38"/>
    </x:row>
    <x:row r="17">
      <x:c r="A17" s="38" t="str">
        <x:v>5</x:v>
      </x:c>
      <x:c r="B17" s="38" t="str">
        <x:v>A task is Done only after one successful rewrite without hints.</x:v>
      </x:c>
      <x:c r="C17" s="38"/>
      <x:c r="D17" s="38"/>
      <x:c r="E17" s="38"/>
      <x:c r="F17" s="38"/>
      <x:c r="G17" s="38"/>
      <x:c r="H17" s="38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3a438c710b249a8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8" hidden="0" customWidth="1"/>
    <x:col min="4" max="4" width="18" hidden="0" customWidth="1"/>
    <x:col min="5" max="5" width="32" hidden="0" customWidth="1"/>
    <x:col min="6" max="6" width="38" hidden="0" customWidth="1"/>
    <x:col min="7" max="7" width="12" hidden="0" customWidth="1"/>
    <x:col min="8" max="8" width="10" hidden="0" customWidth="1"/>
    <x:col min="9" max="9" width="38" hidden="0" customWidth="1"/>
    <x:col min="10" max="10" width="28" hidden="0" customWidth="1"/>
    <x:col min="11" max="11" width="14" hidden="0" customWidth="1"/>
    <x:col min="12" max="12" width="11" hidden="0" customWidth="1"/>
    <x:col min="13" max="13" width="14" hidden="0" customWidth="1"/>
    <x:col min="14" max="14" width="19" hidden="0" customWidth="1"/>
    <x:col min="15" max="15" width="16" hidden="0" customWidth="1"/>
    <x:col min="16" max="16" width="30" hidden="0" customWidth="1"/>
    <x:col min="17" max="17" width="30" hidden="0" customWidth="1"/>
  </x:cols>
  <x:sheetData>
    <x:row r="1">
      <x:c r="A1" s="26" t="str">
        <x:v>Day</x:v>
      </x:c>
      <x:c r="B1" s="26" t="str">
        <x:v>Date</x:v>
      </x:c>
      <x:c r="C1" s="26" t="str">
        <x:v>Order</x:v>
      </x:c>
      <x:c r="D1" s="26" t="str">
        <x:v>Category</x:v>
      </x:c>
      <x:c r="E1" s="26" t="str">
        <x:v>Problem / Drill</x:v>
      </x:c>
      <x:c r="F1" s="26" t="str">
        <x:v>Required Output</x:v>
      </x:c>
      <x:c r="G1" s="26" t="str">
        <x:v>Difficulty</x:v>
      </x:c>
      <x:c r="H1" s="26" t="str">
        <x:v>Est. Min</x:v>
      </x:c>
      <x:c r="I1" s="26" t="str">
        <x:v>LeetCode Link</x:v>
      </x:c>
      <x:c r="J1" s="26" t="str">
        <x:v>Key Learning</x:v>
      </x:c>
      <x:c r="K1" s="26" t="str">
        <x:v>Status</x:v>
      </x:c>
      <x:c r="L1" s="26" t="str">
        <x:v>Actual Min</x:v>
      </x:c>
      <x:c r="M1" s="26" t="str">
        <x:v>Attempt 1 Result</x:v>
      </x:c>
      <x:c r="N1" s="26" t="str">
        <x:v>Rewrite Without Hint?</x:v>
      </x:c>
      <x:c r="O1" s="26" t="str">
        <x:v>Confidence (1-5)</x:v>
      </x:c>
      <x:c r="P1" s="26" t="str">
        <x:v>Mistake / Blocker</x:v>
      </x:c>
      <x:c r="Q1" s="26" t="str">
        <x:v>Notes</x:v>
      </x:c>
    </x:row>
    <x:row r="2">
      <x:c r="A2" s="46" t="n">
        <x:v>1</x:v>
      </x:c>
      <x:c r="B2" s="47" t="n">
        <x:v>46219</x:v>
      </x:c>
      <x:c r="C2" s="46" t="n">
        <x:v>1</x:v>
      </x:c>
      <x:c r="D2" s="46" t="str">
        <x:v>Go Fundamentals</x:v>
      </x:c>
      <x:c r="E2" s="50" t="str">
        <x:v>Slice creation: nil, literal, make</x:v>
      </x:c>
      <x:c r="F2" s="50" t="str">
        <x:v>Write 3 examples and print len/cap</x:v>
      </x:c>
      <x:c r="G2" s="50" t="str">
        <x:v>Easy</x:v>
      </x:c>
      <x:c r="H2" s="50" t="n">
        <x:v>20</x:v>
      </x:c>
      <x:c r="I2" s="50" t="str"/>
      <x:c r="J2" s="50" t="str">
        <x:v>Build syntax muscle</x:v>
      </x:c>
      <x:c r="K2" s="50" t="str">
        <x:v>Not Started</x:v>
      </x:c>
      <x:c r="L2" s="50"/>
      <x:c r="M2" s="50" t="str"/>
      <x:c r="N2" s="50" t="str">
        <x:v>No</x:v>
      </x:c>
      <x:c r="O2" s="50"/>
      <x:c r="P2" s="50" t="str"/>
      <x:c r="Q2" s="50" t="str"/>
    </x:row>
    <x:row r="3">
      <x:c r="A3" s="46" t="n">
        <x:v>1</x:v>
      </x:c>
      <x:c r="B3" s="47" t="n">
        <x:v>46219</x:v>
      </x:c>
      <x:c r="C3" s="46" t="n">
        <x:v>2</x:v>
      </x:c>
      <x:c r="D3" s="46" t="str">
        <x:v>Go Fundamentals</x:v>
      </x:c>
      <x:c r="E3" s="50" t="str">
        <x:v>Append, copy, sub-slicing</x:v>
      </x:c>
      <x:c r="F3" s="50" t="str">
        <x:v>Demonstrate append reallocation and copy isolation</x:v>
      </x:c>
      <x:c r="G3" s="50" t="str">
        <x:v>Easy</x:v>
      </x:c>
      <x:c r="H3" s="50" t="n">
        <x:v>25</x:v>
      </x:c>
      <x:c r="I3" s="50" t="str"/>
      <x:c r="J3" s="50" t="str">
        <x:v>Explain backing array</x:v>
      </x:c>
      <x:c r="K3" s="50" t="str">
        <x:v>Not Started</x:v>
      </x:c>
      <x:c r="L3" s="50"/>
      <x:c r="M3" s="50" t="str"/>
      <x:c r="N3" s="50" t="str">
        <x:v>No</x:v>
      </x:c>
      <x:c r="O3" s="50"/>
      <x:c r="P3" s="50" t="str"/>
      <x:c r="Q3" s="50" t="str"/>
    </x:row>
    <x:row r="4">
      <x:c r="A4" s="46" t="n">
        <x:v>1</x:v>
      </x:c>
      <x:c r="B4" s="47" t="n">
        <x:v>46219</x:v>
      </x:c>
      <x:c r="C4" s="46" t="n">
        <x:v>3</x:v>
      </x:c>
      <x:c r="D4" s="46" t="str">
        <x:v>Go Fundamentals</x:v>
      </x:c>
      <x:c r="E4" s="50" t="str">
        <x:v>Insert and delete from slice</x:v>
      </x:c>
      <x:c r="F4" s="50" t="str">
        <x:v>Implement reusable insert/delete functions</x:v>
      </x:c>
      <x:c r="G4" s="50" t="str">
        <x:v>Easy</x:v>
      </x:c>
      <x:c r="H4" s="50" t="n">
        <x:v>25</x:v>
      </x:c>
      <x:c r="I4" s="50" t="str"/>
      <x:c r="J4" s="50" t="str">
        <x:v>Use append correctly</x:v>
      </x:c>
      <x:c r="K4" s="50" t="str">
        <x:v>Not Started</x:v>
      </x:c>
      <x:c r="L4" s="50"/>
      <x:c r="M4" s="50" t="str"/>
      <x:c r="N4" s="50" t="str">
        <x:v>No</x:v>
      </x:c>
      <x:c r="O4" s="50"/>
      <x:c r="P4" s="50" t="str"/>
      <x:c r="Q4" s="50" t="str"/>
    </x:row>
    <x:row r="5">
      <x:c r="A5" s="46" t="n">
        <x:v>1</x:v>
      </x:c>
      <x:c r="B5" s="47" t="n">
        <x:v>46219</x:v>
      </x:c>
      <x:c r="C5" s="46" t="n">
        <x:v>4</x:v>
      </x:c>
      <x:c r="D5" s="46" t="str">
        <x:v>Go Fundamentals</x:v>
      </x:c>
      <x:c r="E5" s="50" t="str">
        <x:v>Reverse a slice in place</x:v>
      </x:c>
      <x:c r="F5" s="50" t="str">
        <x:v>Complete program with main and edge cases</x:v>
      </x:c>
      <x:c r="G5" s="50" t="str">
        <x:v>Easy</x:v>
      </x:c>
      <x:c r="H5" s="50" t="n">
        <x:v>20</x:v>
      </x:c>
      <x:c r="I5" s="50" t="str"/>
      <x:c r="J5" s="50" t="str">
        <x:v>Two-pointer pattern</x:v>
      </x:c>
      <x:c r="K5" s="50" t="str">
        <x:v>Not Started</x:v>
      </x:c>
      <x:c r="L5" s="50"/>
      <x:c r="M5" s="50" t="str"/>
      <x:c r="N5" s="50" t="str">
        <x:v>No</x:v>
      </x:c>
      <x:c r="O5" s="50"/>
      <x:c r="P5" s="50" t="str"/>
      <x:c r="Q5" s="50" t="str"/>
    </x:row>
    <x:row r="6">
      <x:c r="A6" s="46" t="n">
        <x:v>1</x:v>
      </x:c>
      <x:c r="B6" s="47" t="n">
        <x:v>46219</x:v>
      </x:c>
      <x:c r="C6" s="46" t="n">
        <x:v>5</x:v>
      </x:c>
      <x:c r="D6" s="46" t="str">
        <x:v>Interview Drill</x:v>
      </x:c>
      <x:c r="E6" s="50" t="str">
        <x:v>Partition slice into 4 even parts</x:v>
      </x:c>
      <x:c r="F6" s="50" t="str">
        <x:v>Handle remainder and empty partitions</x:v>
      </x:c>
      <x:c r="G6" s="50" t="str">
        <x:v>Medium</x:v>
      </x:c>
      <x:c r="H6" s="50" t="n">
        <x:v>35</x:v>
      </x:c>
      <x:c r="I6" s="50" t="str"/>
      <x:c r="J6" s="50" t="str">
        <x:v>Recreate the failed interview problem</x:v>
      </x:c>
      <x:c r="K6" s="50" t="str">
        <x:v>Not Started</x:v>
      </x:c>
      <x:c r="L6" s="50"/>
      <x:c r="M6" s="50" t="str"/>
      <x:c r="N6" s="50" t="str">
        <x:v>No</x:v>
      </x:c>
      <x:c r="O6" s="50"/>
      <x:c r="P6" s="50" t="str"/>
      <x:c r="Q6" s="50" t="str"/>
    </x:row>
    <x:row r="7">
      <x:c r="A7" s="46" t="n">
        <x:v>1</x:v>
      </x:c>
      <x:c r="B7" s="47" t="n">
        <x:v>46219</x:v>
      </x:c>
      <x:c r="C7" s="46" t="n">
        <x:v>6</x:v>
      </x:c>
      <x:c r="D7" s="46" t="str">
        <x:v>NeetCode 150</x:v>
      </x:c>
      <x:c r="E7" s="50" t="str">
        <x:v>Contains Duplicate</x:v>
      </x:c>
      <x:c r="F7" s="50" t="str">
        <x:v>Solve in Go from blank editor</x:v>
      </x:c>
      <x:c r="G7" s="50" t="str">
        <x:v>Easy</x:v>
      </x:c>
      <x:c r="H7" s="50" t="n">
        <x:v>25</x:v>
      </x:c>
      <x:c r="I7" s="50" t="str">
        <x:v>https://leetcode.com/problems/contains-duplicate/</x:v>
      </x:c>
      <x:c r="J7" s="50" t="str">
        <x:v>Hash set using map[int]struct{}</x:v>
      </x:c>
      <x:c r="K7" s="50" t="str">
        <x:v>Not Started</x:v>
      </x:c>
      <x:c r="L7" s="50"/>
      <x:c r="M7" s="50" t="str"/>
      <x:c r="N7" s="50" t="str">
        <x:v>No</x:v>
      </x:c>
      <x:c r="O7" s="50"/>
      <x:c r="P7" s="50" t="str"/>
      <x:c r="Q7" s="50" t="str"/>
    </x:row>
    <x:row r="8">
      <x:c r="A8" s="46" t="n">
        <x:v>1</x:v>
      </x:c>
      <x:c r="B8" s="47" t="n">
        <x:v>46219</x:v>
      </x:c>
      <x:c r="C8" s="46" t="n">
        <x:v>7</x:v>
      </x:c>
      <x:c r="D8" s="46" t="str">
        <x:v>NeetCode 150</x:v>
      </x:c>
      <x:c r="E8" s="50" t="str">
        <x:v>Valid Anagram</x:v>
      </x:c>
      <x:c r="F8" s="50" t="str">
        <x:v>Solve in Go and explain rune vs byte assumption</x:v>
      </x:c>
      <x:c r="G8" s="50" t="str">
        <x:v>Easy</x:v>
      </x:c>
      <x:c r="H8" s="50" t="n">
        <x:v>25</x:v>
      </x:c>
      <x:c r="I8" s="50" t="str">
        <x:v>https://leetcode.com/problems/valid-anagram/</x:v>
      </x:c>
      <x:c r="J8" s="50" t="str">
        <x:v>Frequency map</x:v>
      </x:c>
      <x:c r="K8" s="50" t="str">
        <x:v>Not Started</x:v>
      </x:c>
      <x:c r="L8" s="50"/>
      <x:c r="M8" s="50" t="str"/>
      <x:c r="N8" s="50" t="str">
        <x:v>No</x:v>
      </x:c>
      <x:c r="O8" s="50"/>
      <x:c r="P8" s="50" t="str"/>
      <x:c r="Q8" s="50" t="str"/>
    </x:row>
    <x:row r="9">
      <x:c r="A9" s="46" t="n">
        <x:v>2</x:v>
      </x:c>
      <x:c r="B9" s="47" t="n">
        <x:v>46220</x:v>
      </x:c>
      <x:c r="C9" s="46" t="n">
        <x:v>1</x:v>
      </x:c>
      <x:c r="D9" s="46" t="str">
        <x:v>Go Fundamentals</x:v>
      </x:c>
      <x:c r="E9" s="50" t="str">
        <x:v>Map create, update, lookup, delete, range</x:v>
      </x:c>
      <x:c r="F9" s="50" t="str">
        <x:v>One complete executable demo</x:v>
      </x:c>
      <x:c r="G9" s="50" t="str">
        <x:v>Easy</x:v>
      </x:c>
      <x:c r="H9" s="50" t="n">
        <x:v>20</x:v>
      </x:c>
      <x:c r="I9" s="50" t="str"/>
      <x:c r="J9" s="50" t="str">
        <x:v>Use comma-ok</x:v>
      </x:c>
      <x:c r="K9" s="50" t="str">
        <x:v>Not Started</x:v>
      </x:c>
      <x:c r="L9" s="50"/>
      <x:c r="M9" s="50" t="str"/>
      <x:c r="N9" s="50" t="str">
        <x:v>No</x:v>
      </x:c>
      <x:c r="O9" s="50"/>
      <x:c r="P9" s="50" t="str"/>
      <x:c r="Q9" s="50" t="str"/>
    </x:row>
    <x:row r="10">
      <x:c r="A10" s="46" t="n">
        <x:v>2</x:v>
      </x:c>
      <x:c r="B10" s="47" t="n">
        <x:v>46220</x:v>
      </x:c>
      <x:c r="C10" s="46" t="n">
        <x:v>2</x:v>
      </x:c>
      <x:c r="D10" s="46" t="str">
        <x:v>Go Fundamentals</x:v>
      </x:c>
      <x:c r="E10" s="50" t="str">
        <x:v>Frequency counter</x:v>
      </x:c>
      <x:c r="F10" s="50" t="str">
        <x:v>Count words and return map[string]int</x:v>
      </x:c>
      <x:c r="G10" s="50" t="str">
        <x:v>Easy</x:v>
      </x:c>
      <x:c r="H10" s="50" t="n">
        <x:v>20</x:v>
      </x:c>
      <x:c r="I10" s="50" t="str"/>
      <x:c r="J10" s="50" t="str">
        <x:v>Map zero values</x:v>
      </x:c>
      <x:c r="K10" s="50" t="str">
        <x:v>Not Started</x:v>
      </x:c>
      <x:c r="L10" s="50"/>
      <x:c r="M10" s="50" t="str"/>
      <x:c r="N10" s="50" t="str">
        <x:v>No</x:v>
      </x:c>
      <x:c r="O10" s="50"/>
      <x:c r="P10" s="50" t="str"/>
      <x:c r="Q10" s="50" t="str"/>
    </x:row>
    <x:row r="11">
      <x:c r="A11" s="46" t="n">
        <x:v>2</x:v>
      </x:c>
      <x:c r="B11" s="47" t="n">
        <x:v>46220</x:v>
      </x:c>
      <x:c r="C11" s="46" t="n">
        <x:v>3</x:v>
      </x:c>
      <x:c r="D11" s="46" t="str">
        <x:v>Go Fundamentals</x:v>
      </x:c>
      <x:c r="E11" s="50" t="str">
        <x:v>Group values using map[string][]int</x:v>
      </x:c>
      <x:c r="F11" s="50" t="str">
        <x:v>Group employees or numbers by category</x:v>
      </x:c>
      <x:c r="G11" s="50" t="str">
        <x:v>Medium</x:v>
      </x:c>
      <x:c r="H11" s="50" t="n">
        <x:v>30</x:v>
      </x:c>
      <x:c r="I11" s="50" t="str"/>
      <x:c r="J11" s="50" t="str">
        <x:v>Nested slice values</x:v>
      </x:c>
      <x:c r="K11" s="50" t="str">
        <x:v>Not Started</x:v>
      </x:c>
      <x:c r="L11" s="50"/>
      <x:c r="M11" s="50" t="str"/>
      <x:c r="N11" s="50" t="str">
        <x:v>No</x:v>
      </x:c>
      <x:c r="O11" s="50"/>
      <x:c r="P11" s="50" t="str"/>
      <x:c r="Q11" s="50" t="str"/>
    </x:row>
    <x:row r="12">
      <x:c r="A12" s="46" t="n">
        <x:v>2</x:v>
      </x:c>
      <x:c r="B12" s="47" t="n">
        <x:v>46220</x:v>
      </x:c>
      <x:c r="C12" s="46" t="n">
        <x:v>4</x:v>
      </x:c>
      <x:c r="D12" s="46" t="str">
        <x:v>Go Fundamentals</x:v>
      </x:c>
      <x:c r="E12" s="50" t="str">
        <x:v>Merge two maps</x:v>
      </x:c>
      <x:c r="F12" s="50" t="str">
        <x:v>Define conflict rule and test it</x:v>
      </x:c>
      <x:c r="G12" s="50" t="str">
        <x:v>Easy</x:v>
      </x:c>
      <x:c r="H12" s="50" t="n">
        <x:v>25</x:v>
      </x:c>
      <x:c r="I12" s="50" t="str"/>
      <x:c r="J12" s="50" t="str">
        <x:v>Iteration practice</x:v>
      </x:c>
      <x:c r="K12" s="50" t="str">
        <x:v>Not Started</x:v>
      </x:c>
      <x:c r="L12" s="50"/>
      <x:c r="M12" s="50" t="str"/>
      <x:c r="N12" s="50" t="str">
        <x:v>No</x:v>
      </x:c>
      <x:c r="O12" s="50"/>
      <x:c r="P12" s="50" t="str"/>
      <x:c r="Q12" s="50" t="str"/>
    </x:row>
    <x:row r="13">
      <x:c r="A13" s="46" t="n">
        <x:v>2</x:v>
      </x:c>
      <x:c r="B13" s="47" t="n">
        <x:v>46220</x:v>
      </x:c>
      <x:c r="C13" s="46" t="n">
        <x:v>5</x:v>
      </x:c>
      <x:c r="D13" s="46" t="str">
        <x:v>Go Fundamentals</x:v>
      </x:c>
      <x:c r="E13" s="50" t="str">
        <x:v>Nested map</x:v>
      </x:c>
      <x:c r="F13" s="50" t="str">
        <x:v>Build map[string]map[string]int safely</x:v>
      </x:c>
      <x:c r="G13" s="50" t="str">
        <x:v>Medium</x:v>
      </x:c>
      <x:c r="H13" s="50" t="n">
        <x:v>30</x:v>
      </x:c>
      <x:c r="I13" s="50" t="str"/>
      <x:c r="J13" s="50" t="str">
        <x:v>Initialize inner maps</x:v>
      </x:c>
      <x:c r="K13" s="50" t="str">
        <x:v>Not Started</x:v>
      </x:c>
      <x:c r="L13" s="50"/>
      <x:c r="M13" s="50" t="str"/>
      <x:c r="N13" s="50" t="str">
        <x:v>No</x:v>
      </x:c>
      <x:c r="O13" s="50"/>
      <x:c r="P13" s="50" t="str"/>
      <x:c r="Q13" s="50" t="str"/>
    </x:row>
    <x:row r="14">
      <x:c r="A14" s="46" t="n">
        <x:v>2</x:v>
      </x:c>
      <x:c r="B14" s="47" t="n">
        <x:v>46220</x:v>
      </x:c>
      <x:c r="C14" s="46" t="n">
        <x:v>6</x:v>
      </x:c>
      <x:c r="D14" s="46" t="str">
        <x:v>NeetCode 150</x:v>
      </x:c>
      <x:c r="E14" s="50" t="str">
        <x:v>Two Sum</x:v>
      </x:c>
      <x:c r="F14" s="50" t="str">
        <x:v>Solve in Go from blank editor</x:v>
      </x:c>
      <x:c r="G14" s="50" t="str">
        <x:v>Easy</x:v>
      </x:c>
      <x:c r="H14" s="50" t="n">
        <x:v>25</x:v>
      </x:c>
      <x:c r="I14" s="50" t="str">
        <x:v>https://leetcode.com/problems/two-sum/</x:v>
      </x:c>
      <x:c r="J14" s="50" t="str">
        <x:v>Complement map</x:v>
      </x:c>
      <x:c r="K14" s="50" t="str">
        <x:v>Not Started</x:v>
      </x:c>
      <x:c r="L14" s="50"/>
      <x:c r="M14" s="50" t="str"/>
      <x:c r="N14" s="50" t="str">
        <x:v>No</x:v>
      </x:c>
      <x:c r="O14" s="50"/>
      <x:c r="P14" s="50" t="str"/>
      <x:c r="Q14" s="50" t="str"/>
    </x:row>
    <x:row r="15">
      <x:c r="A15" s="46" t="n">
        <x:v>2</x:v>
      </x:c>
      <x:c r="B15" s="47" t="n">
        <x:v>46220</x:v>
      </x:c>
      <x:c r="C15" s="46" t="n">
        <x:v>7</x:v>
      </x:c>
      <x:c r="D15" s="46" t="str">
        <x:v>NeetCode 150</x:v>
      </x:c>
      <x:c r="E15" s="50" t="str">
        <x:v>Group Anagrams</x:v>
      </x:c>
      <x:c r="F15" s="50" t="str">
        <x:v>Use map key based on sorted string or count signature</x:v>
      </x:c>
      <x:c r="G15" s="50" t="str">
        <x:v>Medium</x:v>
      </x:c>
      <x:c r="H15" s="50" t="n">
        <x:v>40</x:v>
      </x:c>
      <x:c r="I15" s="50" t="str">
        <x:v>https://leetcode.com/problems/group-anagrams/</x:v>
      </x:c>
      <x:c r="J15" s="50" t="str">
        <x:v>map[key][]string</x:v>
      </x:c>
      <x:c r="K15" s="50" t="str">
        <x:v>Not Started</x:v>
      </x:c>
      <x:c r="L15" s="50"/>
      <x:c r="M15" s="50" t="str"/>
      <x:c r="N15" s="50" t="str">
        <x:v>No</x:v>
      </x:c>
      <x:c r="O15" s="50"/>
      <x:c r="P15" s="50" t="str"/>
      <x:c r="Q15" s="50" t="str"/>
    </x:row>
    <x:row r="16">
      <x:c r="A16" s="46" t="n">
        <x:v>3</x:v>
      </x:c>
      <x:c r="B16" s="47" t="n">
        <x:v>46221</x:v>
      </x:c>
      <x:c r="C16" s="46" t="n">
        <x:v>1</x:v>
      </x:c>
      <x:c r="D16" s="46" t="str">
        <x:v>Go Fundamentals</x:v>
      </x:c>
      <x:c r="E16" s="50" t="str">
        <x:v>Struct creation and constructor</x:v>
      </x:c>
      <x:c r="F16" s="50" t="str">
        <x:v>Create User and NewUser returning *User</x:v>
      </x:c>
      <x:c r="G16" s="50" t="str">
        <x:v>Easy</x:v>
      </x:c>
      <x:c r="H16" s="50" t="n">
        <x:v>20</x:v>
      </x:c>
      <x:c r="I16" s="50" t="str"/>
      <x:c r="J16" s="50" t="str">
        <x:v>Named fields</x:v>
      </x:c>
      <x:c r="K16" s="50" t="str">
        <x:v>Not Started</x:v>
      </x:c>
      <x:c r="L16" s="50"/>
      <x:c r="M16" s="50" t="str"/>
      <x:c r="N16" s="50" t="str">
        <x:v>No</x:v>
      </x:c>
      <x:c r="O16" s="50"/>
      <x:c r="P16" s="50" t="str"/>
      <x:c r="Q16" s="50" t="str"/>
    </x:row>
    <x:row r="17">
      <x:c r="A17" s="46" t="n">
        <x:v>3</x:v>
      </x:c>
      <x:c r="B17" s="47" t="n">
        <x:v>46221</x:v>
      </x:c>
      <x:c r="C17" s="46" t="n">
        <x:v>2</x:v>
      </x:c>
      <x:c r="D17" s="46" t="str">
        <x:v>Go Fundamentals</x:v>
      </x:c>
      <x:c r="E17" s="50" t="str">
        <x:v>Value vs pointer receiver</x:v>
      </x:c>
      <x:c r="F17" s="50" t="str">
        <x:v>Write one mutating and one non-mutating method</x:v>
      </x:c>
      <x:c r="G17" s="50" t="str">
        <x:v>Easy</x:v>
      </x:c>
      <x:c r="H17" s="50" t="n">
        <x:v>25</x:v>
      </x:c>
      <x:c r="I17" s="50" t="str"/>
      <x:c r="J17" s="50" t="str">
        <x:v>Explain receiver choice</x:v>
      </x:c>
      <x:c r="K17" s="50" t="str">
        <x:v>Not Started</x:v>
      </x:c>
      <x:c r="L17" s="50"/>
      <x:c r="M17" s="50" t="str"/>
      <x:c r="N17" s="50" t="str">
        <x:v>No</x:v>
      </x:c>
      <x:c r="O17" s="50"/>
      <x:c r="P17" s="50" t="str"/>
      <x:c r="Q17" s="50" t="str"/>
    </x:row>
    <x:row r="18">
      <x:c r="A18" s="46" t="n">
        <x:v>3</x:v>
      </x:c>
      <x:c r="B18" s="47" t="n">
        <x:v>46221</x:v>
      </x:c>
      <x:c r="C18" s="46" t="n">
        <x:v>3</x:v>
      </x:c>
      <x:c r="D18" s="46" t="str">
        <x:v>Go Fundamentals</x:v>
      </x:c>
      <x:c r="E18" s="50" t="str">
        <x:v>Slice of structs</x:v>
      </x:c>
      <x:c r="F18" s="50" t="str">
        <x:v>Filter and sort employees by field</x:v>
      </x:c>
      <x:c r="G18" s="50" t="str">
        <x:v>Medium</x:v>
      </x:c>
      <x:c r="H18" s="50" t="n">
        <x:v>35</x:v>
      </x:c>
      <x:c r="I18" s="50" t="str"/>
      <x:c r="J18" s="50" t="str">
        <x:v>sort.Slice</x:v>
      </x:c>
      <x:c r="K18" s="50" t="str">
        <x:v>Not Started</x:v>
      </x:c>
      <x:c r="L18" s="50"/>
      <x:c r="M18" s="50" t="str"/>
      <x:c r="N18" s="50" t="str">
        <x:v>No</x:v>
      </x:c>
      <x:c r="O18" s="50"/>
      <x:c r="P18" s="50" t="str"/>
      <x:c r="Q18" s="50" t="str"/>
    </x:row>
    <x:row r="19">
      <x:c r="A19" s="46" t="n">
        <x:v>3</x:v>
      </x:c>
      <x:c r="B19" s="47" t="n">
        <x:v>46221</x:v>
      </x:c>
      <x:c r="C19" s="46" t="n">
        <x:v>4</x:v>
      </x:c>
      <x:c r="D19" s="46" t="str">
        <x:v>Go Fundamentals</x:v>
      </x:c>
      <x:c r="E19" s="50" t="str">
        <x:v>Map of structs vs map of pointers</x:v>
      </x:c>
      <x:c r="F19" s="50" t="str">
        <x:v>Demonstrate mutation difference</x:v>
      </x:c>
      <x:c r="G19" s="50" t="str">
        <x:v>Medium</x:v>
      </x:c>
      <x:c r="H19" s="50" t="n">
        <x:v>35</x:v>
      </x:c>
      <x:c r="I19" s="50" t="str"/>
      <x:c r="J19" s="50" t="str">
        <x:v>Map values are not addressable</x:v>
      </x:c>
      <x:c r="K19" s="50" t="str">
        <x:v>Not Started</x:v>
      </x:c>
      <x:c r="L19" s="50"/>
      <x:c r="M19" s="50" t="str"/>
      <x:c r="N19" s="50" t="str">
        <x:v>No</x:v>
      </x:c>
      <x:c r="O19" s="50"/>
      <x:c r="P19" s="50" t="str"/>
      <x:c r="Q19" s="50" t="str"/>
    </x:row>
    <x:row r="20">
      <x:c r="A20" s="46" t="n">
        <x:v>3</x:v>
      </x:c>
      <x:c r="B20" s="47" t="n">
        <x:v>46221</x:v>
      </x:c>
      <x:c r="C20" s="46" t="n">
        <x:v>5</x:v>
      </x:c>
      <x:c r="D20" s="46" t="str">
        <x:v>Interview Drill</x:v>
      </x:c>
      <x:c r="E20" s="50" t="str">
        <x:v>In-memory user store</x:v>
      </x:c>
      <x:c r="F20" s="50" t="str">
        <x:v>Add, Get, Update, Delete, List using map</x:v>
      </x:c>
      <x:c r="G20" s="50" t="str">
        <x:v>Medium</x:v>
      </x:c>
      <x:c r="H20" s="50" t="n">
        <x:v>50</x:v>
      </x:c>
      <x:c r="I20" s="50" t="str"/>
      <x:c r="J20" s="50" t="str">
        <x:v>Constructor + methods + errors</x:v>
      </x:c>
      <x:c r="K20" s="50" t="str">
        <x:v>Not Started</x:v>
      </x:c>
      <x:c r="L20" s="50"/>
      <x:c r="M20" s="50" t="str"/>
      <x:c r="N20" s="50" t="str">
        <x:v>No</x:v>
      </x:c>
      <x:c r="O20" s="50"/>
      <x:c r="P20" s="50" t="str"/>
      <x:c r="Q20" s="50" t="str"/>
    </x:row>
    <x:row r="21">
      <x:c r="A21" s="46" t="n">
        <x:v>3</x:v>
      </x:c>
      <x:c r="B21" s="47" t="n">
        <x:v>46221</x:v>
      </x:c>
      <x:c r="C21" s="46" t="n">
        <x:v>6</x:v>
      </x:c>
      <x:c r="D21" s="46" t="str">
        <x:v>NeetCode 150</x:v>
      </x:c>
      <x:c r="E21" s="50" t="str">
        <x:v>Product of Array Except Self</x:v>
      </x:c>
      <x:c r="F21" s="50" t="str">
        <x:v>Solve in Go without division</x:v>
      </x:c>
      <x:c r="G21" s="50" t="str">
        <x:v>Medium</x:v>
      </x:c>
      <x:c r="H21" s="50" t="n">
        <x:v>40</x:v>
      </x:c>
      <x:c r="I21" s="50" t="str">
        <x:v>https://leetcode.com/problems/product-of-array-except-self/</x:v>
      </x:c>
      <x:c r="J21" s="50" t="str">
        <x:v>Prefix and suffix products</x:v>
      </x:c>
      <x:c r="K21" s="50" t="str">
        <x:v>Not Started</x:v>
      </x:c>
      <x:c r="L21" s="50"/>
      <x:c r="M21" s="50" t="str"/>
      <x:c r="N21" s="50" t="str">
        <x:v>No</x:v>
      </x:c>
      <x:c r="O21" s="50"/>
      <x:c r="P21" s="50" t="str"/>
      <x:c r="Q21" s="50" t="str"/>
    </x:row>
    <x:row r="22">
      <x:c r="A22" s="46" t="n">
        <x:v>3</x:v>
      </x:c>
      <x:c r="B22" s="47" t="n">
        <x:v>46221</x:v>
      </x:c>
      <x:c r="C22" s="46" t="n">
        <x:v>7</x:v>
      </x:c>
      <x:c r="D22" s="46" t="str">
        <x:v>NeetCode 150</x:v>
      </x:c>
      <x:c r="E22" s="50" t="str">
        <x:v>Longest Consecutive Sequence</x:v>
      </x:c>
      <x:c r="F22" s="50" t="str">
        <x:v>Solve in Go using a set</x:v>
      </x:c>
      <x:c r="G22" s="50" t="str">
        <x:v>Medium</x:v>
      </x:c>
      <x:c r="H22" s="50" t="n">
        <x:v>40</x:v>
      </x:c>
      <x:c r="I22" s="50" t="str">
        <x:v>https://leetcode.com/problems/longest-consecutive-sequence/</x:v>
      </x:c>
      <x:c r="J22" s="50" t="str">
        <x:v>Only start at sequence heads</x:v>
      </x:c>
      <x:c r="K22" s="50" t="str">
        <x:v>Not Started</x:v>
      </x:c>
      <x:c r="L22" s="50"/>
      <x:c r="M22" s="50" t="str"/>
      <x:c r="N22" s="50" t="str">
        <x:v>No</x:v>
      </x:c>
      <x:c r="O22" s="50"/>
      <x:c r="P22" s="50" t="str"/>
      <x:c r="Q22" s="50" t="str"/>
    </x:row>
    <x:row r="23">
      <x:c r="A23" s="46" t="n">
        <x:v>4</x:v>
      </x:c>
      <x:c r="B23" s="47" t="n">
        <x:v>46222</x:v>
      </x:c>
      <x:c r="C23" s="46" t="n">
        <x:v>1</x:v>
      </x:c>
      <x:c r="D23" s="46" t="str">
        <x:v>Go Fundamentals</x:v>
      </x:c>
      <x:c r="E23" s="50" t="str">
        <x:v>Simple interface with two implementations</x:v>
      </x:c>
      <x:c r="F23" s="50" t="str">
        <x:v>Create Speaker with Dog and Person</x:v>
      </x:c>
      <x:c r="G23" s="50" t="str">
        <x:v>Easy</x:v>
      </x:c>
      <x:c r="H23" s="50" t="n">
        <x:v>30</x:v>
      </x:c>
      <x:c r="I23" s="50" t="str"/>
      <x:c r="J23" s="50" t="str">
        <x:v>Implicit implementation</x:v>
      </x:c>
      <x:c r="K23" s="50" t="str">
        <x:v>Not Started</x:v>
      </x:c>
      <x:c r="L23" s="50"/>
      <x:c r="M23" s="50" t="str"/>
      <x:c r="N23" s="50" t="str">
        <x:v>No</x:v>
      </x:c>
      <x:c r="O23" s="50"/>
      <x:c r="P23" s="50" t="str"/>
      <x:c r="Q23" s="50" t="str"/>
    </x:row>
    <x:row r="24">
      <x:c r="A24" s="46" t="n">
        <x:v>4</x:v>
      </x:c>
      <x:c r="B24" s="47" t="n">
        <x:v>46222</x:v>
      </x:c>
      <x:c r="C24" s="46" t="n">
        <x:v>2</x:v>
      </x:c>
      <x:c r="D24" s="46" t="str">
        <x:v>Go Fundamentals</x:v>
      </x:c>
      <x:c r="E24" s="50" t="str">
        <x:v>Interface as function parameter</x:v>
      </x:c>
      <x:c r="F24" s="50" t="str">
        <x:v>Pass implementations to makeItSpeak</x:v>
      </x:c>
      <x:c r="G24" s="50" t="str">
        <x:v>Easy</x:v>
      </x:c>
      <x:c r="H24" s="50" t="n">
        <x:v>25</x:v>
      </x:c>
      <x:c r="I24" s="50" t="str"/>
      <x:c r="J24" s="50" t="str">
        <x:v>Call through interface</x:v>
      </x:c>
      <x:c r="K24" s="50" t="str">
        <x:v>Not Started</x:v>
      </x:c>
      <x:c r="L24" s="50"/>
      <x:c r="M24" s="50" t="str"/>
      <x:c r="N24" s="50" t="str">
        <x:v>No</x:v>
      </x:c>
      <x:c r="O24" s="50"/>
      <x:c r="P24" s="50" t="str"/>
      <x:c r="Q24" s="50" t="str"/>
    </x:row>
    <x:row r="25">
      <x:c r="A25" s="46" t="n">
        <x:v>4</x:v>
      </x:c>
      <x:c r="B25" s="47" t="n">
        <x:v>46222</x:v>
      </x:c>
      <x:c r="C25" s="46" t="n">
        <x:v>3</x:v>
      </x:c>
      <x:c r="D25" s="46" t="str">
        <x:v>Go Fundamentals</x:v>
      </x:c>
      <x:c r="E25" s="50" t="str">
        <x:v>Slice of interfaces</x:v>
      </x:c>
      <x:c r="F25" s="50" t="str">
        <x:v>Iterate over different implementations</x:v>
      </x:c>
      <x:c r="G25" s="50" t="str">
        <x:v>Medium</x:v>
      </x:c>
      <x:c r="H25" s="50" t="n">
        <x:v>30</x:v>
      </x:c>
      <x:c r="I25" s="50" t="str"/>
      <x:c r="J25" s="50" t="str">
        <x:v>Dynamic dispatch</x:v>
      </x:c>
      <x:c r="K25" s="50" t="str">
        <x:v>Not Started</x:v>
      </x:c>
      <x:c r="L25" s="50"/>
      <x:c r="M25" s="50" t="str"/>
      <x:c r="N25" s="50" t="str">
        <x:v>No</x:v>
      </x:c>
      <x:c r="O25" s="50"/>
      <x:c r="P25" s="50" t="str"/>
      <x:c r="Q25" s="50" t="str"/>
    </x:row>
    <x:row r="26">
      <x:c r="A26" s="46" t="n">
        <x:v>4</x:v>
      </x:c>
      <x:c r="B26" s="47" t="n">
        <x:v>46222</x:v>
      </x:c>
      <x:c r="C26" s="46" t="n">
        <x:v>4</x:v>
      </x:c>
      <x:c r="D26" s="46" t="str">
        <x:v>Go Fundamentals</x:v>
      </x:c>
      <x:c r="E26" s="50" t="str">
        <x:v>Type assertion and type switch</x:v>
      </x:c>
      <x:c r="F26" s="50" t="str">
        <x:v>Handle concrete types safely</x:v>
      </x:c>
      <x:c r="G26" s="50" t="str">
        <x:v>Medium</x:v>
      </x:c>
      <x:c r="H26" s="50" t="n">
        <x:v>35</x:v>
      </x:c>
      <x:c r="I26" s="50" t="str"/>
      <x:c r="J26" s="50" t="str">
        <x:v>Comma-ok assertion</x:v>
      </x:c>
      <x:c r="K26" s="50" t="str">
        <x:v>Not Started</x:v>
      </x:c>
      <x:c r="L26" s="50"/>
      <x:c r="M26" s="50" t="str"/>
      <x:c r="N26" s="50" t="str">
        <x:v>No</x:v>
      </x:c>
      <x:c r="O26" s="50"/>
      <x:c r="P26" s="50" t="str"/>
      <x:c r="Q26" s="50" t="str"/>
    </x:row>
    <x:row r="27">
      <x:c r="A27" s="46" t="n">
        <x:v>4</x:v>
      </x:c>
      <x:c r="B27" s="47" t="n">
        <x:v>46222</x:v>
      </x:c>
      <x:c r="C27" s="46" t="n">
        <x:v>5</x:v>
      </x:c>
      <x:c r="D27" s="46" t="str">
        <x:v>Interview Drill</x:v>
      </x:c>
      <x:c r="E27" s="50" t="str">
        <x:v>Simulate inheritance with embedding</x:v>
      </x:c>
      <x:c r="F27" s="50" t="str">
        <x:v>Animal embedded in Dog; construct and call correctly</x:v>
      </x:c>
      <x:c r="G27" s="50" t="str">
        <x:v>Medium</x:v>
      </x:c>
      <x:c r="H27" s="50" t="n">
        <x:v>35</x:v>
      </x:c>
      <x:c r="I27" s="50" t="str"/>
      <x:c r="J27" s="50" t="str">
        <x:v>Composition, not inheritance</x:v>
      </x:c>
      <x:c r="K27" s="50" t="str">
        <x:v>Not Started</x:v>
      </x:c>
      <x:c r="L27" s="50"/>
      <x:c r="M27" s="50" t="str"/>
      <x:c r="N27" s="50" t="str">
        <x:v>No</x:v>
      </x:c>
      <x:c r="O27" s="50"/>
      <x:c r="P27" s="50" t="str"/>
      <x:c r="Q27" s="50" t="str"/>
    </x:row>
    <x:row r="28">
      <x:c r="A28" s="46" t="n">
        <x:v>4</x:v>
      </x:c>
      <x:c r="B28" s="47" t="n">
        <x:v>46222</x:v>
      </x:c>
      <x:c r="C28" s="46" t="n">
        <x:v>6</x:v>
      </x:c>
      <x:c r="D28" s="46" t="str">
        <x:v>Interview Drill</x:v>
      </x:c>
      <x:c r="E28" s="50" t="str">
        <x:v>Method promotion and overriding</x:v>
      </x:c>
      <x:c r="F28" s="50" t="str">
        <x:v>Embed Logger and override one method</x:v>
      </x:c>
      <x:c r="G28" s="50" t="str">
        <x:v>Medium</x:v>
      </x:c>
      <x:c r="H28" s="50" t="n">
        <x:v>35</x:v>
      </x:c>
      <x:c r="I28" s="50" t="str"/>
      <x:c r="J28" s="50" t="str">
        <x:v>Explain selection rules</x:v>
      </x:c>
      <x:c r="K28" s="50" t="str">
        <x:v>Not Started</x:v>
      </x:c>
      <x:c r="L28" s="50"/>
      <x:c r="M28" s="50" t="str"/>
      <x:c r="N28" s="50" t="str">
        <x:v>No</x:v>
      </x:c>
      <x:c r="O28" s="50"/>
      <x:c r="P28" s="50" t="str"/>
      <x:c r="Q28" s="50" t="str"/>
    </x:row>
    <x:row r="29">
      <x:c r="A29" s="46" t="n">
        <x:v>4</x:v>
      </x:c>
      <x:c r="B29" s="47" t="n">
        <x:v>46222</x:v>
      </x:c>
      <x:c r="C29" s="46" t="n">
        <x:v>7</x:v>
      </x:c>
      <x:c r="D29" s="46" t="str">
        <x:v>NeetCode 150</x:v>
      </x:c>
      <x:c r="E29" s="50" t="str">
        <x:v>Valid Parentheses</x:v>
      </x:c>
      <x:c r="F29" s="50" t="str">
        <x:v>Implement stack using []rune or []byte</x:v>
      </x:c>
      <x:c r="G29" s="50" t="str">
        <x:v>Easy</x:v>
      </x:c>
      <x:c r="H29" s="50" t="n">
        <x:v>25</x:v>
      </x:c>
      <x:c r="I29" s="50" t="str">
        <x:v>https://leetcode.com/problems/valid-parentheses/</x:v>
      </x:c>
      <x:c r="J29" s="50" t="str">
        <x:v>Slice-backed stack</x:v>
      </x:c>
      <x:c r="K29" s="50" t="str">
        <x:v>Not Started</x:v>
      </x:c>
      <x:c r="L29" s="50"/>
      <x:c r="M29" s="50" t="str"/>
      <x:c r="N29" s="50" t="str">
        <x:v>No</x:v>
      </x:c>
      <x:c r="O29" s="50"/>
      <x:c r="P29" s="50" t="str"/>
      <x:c r="Q29" s="50" t="str"/>
    </x:row>
    <x:row r="30">
      <x:c r="A30" s="46" t="n">
        <x:v>4</x:v>
      </x:c>
      <x:c r="B30" s="47" t="n">
        <x:v>46222</x:v>
      </x:c>
      <x:c r="C30" s="46" t="n">
        <x:v>8</x:v>
      </x:c>
      <x:c r="D30" s="46" t="str">
        <x:v>NeetCode 150</x:v>
      </x:c>
      <x:c r="E30" s="50" t="str">
        <x:v>Min Stack</x:v>
      </x:c>
      <x:c r="F30" s="50" t="str">
        <x:v>Implement complete type and main test</x:v>
      </x:c>
      <x:c r="G30" s="50" t="str">
        <x:v>Medium</x:v>
      </x:c>
      <x:c r="H30" s="50" t="n">
        <x:v>40</x:v>
      </x:c>
      <x:c r="I30" s="50" t="str">
        <x:v>https://leetcode.com/problems/min-stack/</x:v>
      </x:c>
      <x:c r="J30" s="50" t="str">
        <x:v>Struct methods</x:v>
      </x:c>
      <x:c r="K30" s="50" t="str">
        <x:v>Not Started</x:v>
      </x:c>
      <x:c r="L30" s="50"/>
      <x:c r="M30" s="50" t="str"/>
      <x:c r="N30" s="50" t="str">
        <x:v>No</x:v>
      </x:c>
      <x:c r="O30" s="50"/>
      <x:c r="P30" s="50" t="str"/>
      <x:c r="Q30" s="50" t="str"/>
    </x:row>
    <x:row r="31">
      <x:c r="A31" s="46" t="n">
        <x:v>5</x:v>
      </x:c>
      <x:c r="B31" s="47" t="n">
        <x:v>46223</x:v>
      </x:c>
      <x:c r="C31" s="46" t="n">
        <x:v>1</x:v>
      </x:c>
      <x:c r="D31" s="46" t="str">
        <x:v>Go Fundamentals</x:v>
      </x:c>
      <x:c r="E31" s="50" t="str">
        <x:v>Stack using slice</x:v>
      </x:c>
      <x:c r="F31" s="50" t="str">
        <x:v>Push, Pop, Peek, IsEmpty</x:v>
      </x:c>
      <x:c r="G31" s="50" t="str">
        <x:v>Easy</x:v>
      </x:c>
      <x:c r="H31" s="50" t="n">
        <x:v>30</x:v>
      </x:c>
      <x:c r="I31" s="50" t="str"/>
      <x:c r="J31" s="50" t="str">
        <x:v>Return errors safely</x:v>
      </x:c>
      <x:c r="K31" s="50" t="str">
        <x:v>Not Started</x:v>
      </x:c>
      <x:c r="L31" s="50"/>
      <x:c r="M31" s="50" t="str"/>
      <x:c r="N31" s="50" t="str">
        <x:v>No</x:v>
      </x:c>
      <x:c r="O31" s="50"/>
      <x:c r="P31" s="50" t="str"/>
      <x:c r="Q31" s="50" t="str"/>
    </x:row>
    <x:row r="32">
      <x:c r="A32" s="46" t="n">
        <x:v>5</x:v>
      </x:c>
      <x:c r="B32" s="47" t="n">
        <x:v>46223</x:v>
      </x:c>
      <x:c r="C32" s="46" t="n">
        <x:v>2</x:v>
      </x:c>
      <x:c r="D32" s="46" t="str">
        <x:v>Go Fundamentals</x:v>
      </x:c>
      <x:c r="E32" s="50" t="str">
        <x:v>Queue using slice</x:v>
      </x:c>
      <x:c r="F32" s="50" t="str">
        <x:v>Enqueue, Dequeue, Front</x:v>
      </x:c>
      <x:c r="G32" s="50" t="str">
        <x:v>Easy</x:v>
      </x:c>
      <x:c r="H32" s="50" t="n">
        <x:v>30</x:v>
      </x:c>
      <x:c r="I32" s="50" t="str"/>
      <x:c r="J32" s="50" t="str">
        <x:v>Discuss O(n) front removal</x:v>
      </x:c>
      <x:c r="K32" s="50" t="str">
        <x:v>Not Started</x:v>
      </x:c>
      <x:c r="L32" s="50"/>
      <x:c r="M32" s="50" t="str"/>
      <x:c r="N32" s="50" t="str">
        <x:v>No</x:v>
      </x:c>
      <x:c r="O32" s="50"/>
      <x:c r="P32" s="50" t="str"/>
      <x:c r="Q32" s="50" t="str"/>
    </x:row>
    <x:row r="33">
      <x:c r="A33" s="46" t="n">
        <x:v>5</x:v>
      </x:c>
      <x:c r="B33" s="47" t="n">
        <x:v>46223</x:v>
      </x:c>
      <x:c r="C33" s="46" t="n">
        <x:v>3</x:v>
      </x:c>
      <x:c r="D33" s="46" t="str">
        <x:v>Go Fundamentals</x:v>
      </x:c>
      <x:c r="E33" s="50" t="str">
        <x:v>Queue with head index</x:v>
      </x:c>
      <x:c r="F33" s="50" t="str">
        <x:v>Avoid repeated shifting</x:v>
      </x:c>
      <x:c r="G33" s="50" t="str">
        <x:v>Medium</x:v>
      </x:c>
      <x:c r="H33" s="50" t="n">
        <x:v>35</x:v>
      </x:c>
      <x:c r="I33" s="50" t="str"/>
      <x:c r="J33" s="50" t="str">
        <x:v>Amortized behavior</x:v>
      </x:c>
      <x:c r="K33" s="50" t="str">
        <x:v>Not Started</x:v>
      </x:c>
      <x:c r="L33" s="50"/>
      <x:c r="M33" s="50" t="str"/>
      <x:c r="N33" s="50" t="str">
        <x:v>No</x:v>
      </x:c>
      <x:c r="O33" s="50"/>
      <x:c r="P33" s="50" t="str"/>
      <x:c r="Q33" s="50" t="str"/>
    </x:row>
    <x:row r="34">
      <x:c r="A34" s="46" t="n">
        <x:v>5</x:v>
      </x:c>
      <x:c r="B34" s="47" t="n">
        <x:v>46223</x:v>
      </x:c>
      <x:c r="C34" s="46" t="n">
        <x:v>4</x:v>
      </x:c>
      <x:c r="D34" s="46" t="str">
        <x:v>Go Fundamentals</x:v>
      </x:c>
      <x:c r="E34" s="50" t="str">
        <x:v>Filter, map, reduce-style functions</x:v>
      </x:c>
      <x:c r="F34" s="50" t="str">
        <x:v>Use functions and closures</x:v>
      </x:c>
      <x:c r="G34" s="50" t="str">
        <x:v>Medium</x:v>
      </x:c>
      <x:c r="H34" s="50" t="n">
        <x:v>35</x:v>
      </x:c>
      <x:c r="I34" s="50" t="str"/>
      <x:c r="J34" s="50" t="str">
        <x:v>Go has no built-in generic map/filter</x:v>
      </x:c>
      <x:c r="K34" s="50" t="str">
        <x:v>Not Started</x:v>
      </x:c>
      <x:c r="L34" s="50"/>
      <x:c r="M34" s="50" t="str"/>
      <x:c r="N34" s="50" t="str">
        <x:v>No</x:v>
      </x:c>
      <x:c r="O34" s="50"/>
      <x:c r="P34" s="50" t="str"/>
      <x:c r="Q34" s="50" t="str"/>
    </x:row>
    <x:row r="35">
      <x:c r="A35" s="46" t="n">
        <x:v>5</x:v>
      </x:c>
      <x:c r="B35" s="47" t="n">
        <x:v>46223</x:v>
      </x:c>
      <x:c r="C35" s="46" t="n">
        <x:v>5</x:v>
      </x:c>
      <x:c r="D35" s="46" t="str">
        <x:v>Interview Drill</x:v>
      </x:c>
      <x:c r="E35" s="50" t="str">
        <x:v>Inventory service</x:v>
      </x:c>
      <x:c r="F35" s="50" t="str">
        <x:v>Struct + map + methods + interface + main</x:v>
      </x:c>
      <x:c r="G35" s="50" t="str">
        <x:v>Medium</x:v>
      </x:c>
      <x:c r="H35" s="50" t="n">
        <x:v>60</x:v>
      </x:c>
      <x:c r="I35" s="50" t="str"/>
      <x:c r="J35" s="50" t="str">
        <x:v>End-to-end executable program</x:v>
      </x:c>
      <x:c r="K35" s="50" t="str">
        <x:v>Not Started</x:v>
      </x:c>
      <x:c r="L35" s="50"/>
      <x:c r="M35" s="50" t="str"/>
      <x:c r="N35" s="50" t="str">
        <x:v>No</x:v>
      </x:c>
      <x:c r="O35" s="50"/>
      <x:c r="P35" s="50" t="str"/>
      <x:c r="Q35" s="50" t="str"/>
    </x:row>
    <x:row r="36">
      <x:c r="A36" s="46" t="n">
        <x:v>5</x:v>
      </x:c>
      <x:c r="B36" s="47" t="n">
        <x:v>46223</x:v>
      </x:c>
      <x:c r="C36" s="46" t="n">
        <x:v>6</x:v>
      </x:c>
      <x:c r="D36" s="46" t="str">
        <x:v>NeetCode 150</x:v>
      </x:c>
      <x:c r="E36" s="50" t="str">
        <x:v>Binary Search</x:v>
      </x:c>
      <x:c r="F36" s="50" t="str">
        <x:v>Write iterative Go solution</x:v>
      </x:c>
      <x:c r="G36" s="50" t="str">
        <x:v>Easy</x:v>
      </x:c>
      <x:c r="H36" s="50" t="n">
        <x:v>25</x:v>
      </x:c>
      <x:c r="I36" s="50" t="str">
        <x:v>https://leetcode.com/problems/binary-search/</x:v>
      </x:c>
      <x:c r="J36" s="50" t="str">
        <x:v>Boundary discipline</x:v>
      </x:c>
      <x:c r="K36" s="50" t="str">
        <x:v>Not Started</x:v>
      </x:c>
      <x:c r="L36" s="50"/>
      <x:c r="M36" s="50" t="str"/>
      <x:c r="N36" s="50" t="str">
        <x:v>No</x:v>
      </x:c>
      <x:c r="O36" s="50"/>
      <x:c r="P36" s="50" t="str"/>
      <x:c r="Q36" s="50" t="str"/>
    </x:row>
    <x:row r="37">
      <x:c r="A37" s="46" t="n">
        <x:v>5</x:v>
      </x:c>
      <x:c r="B37" s="47" t="n">
        <x:v>46223</x:v>
      </x:c>
      <x:c r="C37" s="46" t="n">
        <x:v>7</x:v>
      </x:c>
      <x:c r="D37" s="46" t="str">
        <x:v>NeetCode 150</x:v>
      </x:c>
      <x:c r="E37" s="50" t="str">
        <x:v>Top K Frequent Elements</x:v>
      </x:c>
      <x:c r="F37" s="50" t="str">
        <x:v>Use bucket sort in Go</x:v>
      </x:c>
      <x:c r="G37" s="50" t="str">
        <x:v>Medium</x:v>
      </x:c>
      <x:c r="H37" s="50" t="n">
        <x:v>45</x:v>
      </x:c>
      <x:c r="I37" s="50" t="str">
        <x:v>https://leetcode.com/problems/top-k-frequent-elements/</x:v>
      </x:c>
      <x:c r="J37" s="50" t="str">
        <x:v>Map + [][]int</x:v>
      </x:c>
      <x:c r="K37" s="50" t="str">
        <x:v>Not Started</x:v>
      </x:c>
      <x:c r="L37" s="50"/>
      <x:c r="M37" s="50" t="str"/>
      <x:c r="N37" s="50" t="str">
        <x:v>No</x:v>
      </x:c>
      <x:c r="O37" s="50"/>
      <x:c r="P37" s="50" t="str"/>
      <x:c r="Q37" s="50" t="str"/>
    </x:row>
    <x:row r="38">
      <x:c r="A38" s="46" t="n">
        <x:v>6</x:v>
      </x:c>
      <x:c r="B38" s="47" t="n">
        <x:v>46224</x:v>
      </x:c>
      <x:c r="C38" s="46" t="n">
        <x:v>1</x:v>
      </x:c>
      <x:c r="D38" s="46" t="str">
        <x:v>Go Concurrency</x:v>
      </x:c>
      <x:c r="E38" s="50" t="str">
        <x:v>Goroutine and WaitGroup refresher</x:v>
      </x:c>
      <x:c r="F38" s="50" t="str">
        <x:v>Run 3 jobs and wait correctly</x:v>
      </x:c>
      <x:c r="G38" s="50" t="str">
        <x:v>Easy</x:v>
      </x:c>
      <x:c r="H38" s="50" t="n">
        <x:v>25</x:v>
      </x:c>
      <x:c r="I38" s="50" t="str"/>
      <x:c r="J38" s="50" t="str">
        <x:v>No sleep-based synchronization</x:v>
      </x:c>
      <x:c r="K38" s="50" t="str">
        <x:v>Not Started</x:v>
      </x:c>
      <x:c r="L38" s="50"/>
      <x:c r="M38" s="50" t="str"/>
      <x:c r="N38" s="50" t="str">
        <x:v>No</x:v>
      </x:c>
      <x:c r="O38" s="50"/>
      <x:c r="P38" s="50" t="str"/>
      <x:c r="Q38" s="50" t="str"/>
    </x:row>
    <x:row r="39">
      <x:c r="A39" s="46" t="n">
        <x:v>6</x:v>
      </x:c>
      <x:c r="B39" s="47" t="n">
        <x:v>46224</x:v>
      </x:c>
      <x:c r="C39" s="46" t="n">
        <x:v>2</x:v>
      </x:c>
      <x:c r="D39" s="46" t="str">
        <x:v>Go Concurrency</x:v>
      </x:c>
      <x:c r="E39" s="50" t="str">
        <x:v>Producer-consumer</x:v>
      </x:c>
      <x:c r="F39" s="50" t="str">
        <x:v>Use jobs and results channels</x:v>
      </x:c>
      <x:c r="G39" s="50" t="str">
        <x:v>Medium</x:v>
      </x:c>
      <x:c r="H39" s="50" t="n">
        <x:v>40</x:v>
      </x:c>
      <x:c r="I39" s="50" t="str"/>
      <x:c r="J39" s="50" t="str">
        <x:v>Ownership and channel closing</x:v>
      </x:c>
      <x:c r="K39" s="50" t="str">
        <x:v>Not Started</x:v>
      </x:c>
      <x:c r="L39" s="50"/>
      <x:c r="M39" s="50" t="str"/>
      <x:c r="N39" s="50" t="str">
        <x:v>No</x:v>
      </x:c>
      <x:c r="O39" s="50"/>
      <x:c r="P39" s="50" t="str"/>
      <x:c r="Q39" s="50" t="str"/>
    </x:row>
    <x:row r="40">
      <x:c r="A40" s="46" t="n">
        <x:v>6</x:v>
      </x:c>
      <x:c r="B40" s="47" t="n">
        <x:v>46224</x:v>
      </x:c>
      <x:c r="C40" s="46" t="n">
        <x:v>3</x:v>
      </x:c>
      <x:c r="D40" s="46" t="str">
        <x:v>Go Concurrency</x:v>
      </x:c>
      <x:c r="E40" s="50" t="str">
        <x:v>Reusable worker pool using interface</x:v>
      </x:c>
      <x:c r="F40" s="50" t="str">
        <x:v>Job interface with Process method; square and uppercase jobs</x:v>
      </x:c>
      <x:c r="G40" s="50" t="str">
        <x:v>Medium</x:v>
      </x:c>
      <x:c r="H40" s="50" t="n">
        <x:v>55</x:v>
      </x:c>
      <x:c r="I40" s="50" t="str"/>
      <x:c r="J40" s="50" t="str">
        <x:v>Interfaces + channels</x:v>
      </x:c>
      <x:c r="K40" s="50" t="str">
        <x:v>Not Started</x:v>
      </x:c>
      <x:c r="L40" s="50"/>
      <x:c r="M40" s="50" t="str"/>
      <x:c r="N40" s="50" t="str">
        <x:v>No</x:v>
      </x:c>
      <x:c r="O40" s="50"/>
      <x:c r="P40" s="50" t="str"/>
      <x:c r="Q40" s="50" t="str"/>
    </x:row>
    <x:row r="41">
      <x:c r="A41" s="46" t="n">
        <x:v>6</x:v>
      </x:c>
      <x:c r="B41" s="47" t="n">
        <x:v>46224</x:v>
      </x:c>
      <x:c r="C41" s="46" t="n">
        <x:v>4</x:v>
      </x:c>
      <x:c r="D41" s="46" t="str">
        <x:v>Go Concurrency</x:v>
      </x:c>
      <x:c r="E41" s="50" t="str">
        <x:v>Concurrent frequency counter</x:v>
      </x:c>
      <x:c r="F41" s="50" t="str">
        <x:v>Workers use local maps, then merge</x:v>
      </x:c>
      <x:c r="G41" s="50" t="str">
        <x:v>Medium</x:v>
      </x:c>
      <x:c r="H41" s="50" t="n">
        <x:v>45</x:v>
      </x:c>
      <x:c r="I41" s="50" t="str"/>
      <x:c r="J41" s="50" t="str">
        <x:v>Avoid shared-map races</x:v>
      </x:c>
      <x:c r="K41" s="50" t="str">
        <x:v>Not Started</x:v>
      </x:c>
      <x:c r="L41" s="50"/>
      <x:c r="M41" s="50" t="str"/>
      <x:c r="N41" s="50" t="str">
        <x:v>No</x:v>
      </x:c>
      <x:c r="O41" s="50"/>
      <x:c r="P41" s="50" t="str"/>
      <x:c r="Q41" s="50" t="str"/>
    </x:row>
    <x:row r="42">
      <x:c r="A42" s="46" t="n">
        <x:v>6</x:v>
      </x:c>
      <x:c r="B42" s="47" t="n">
        <x:v>46224</x:v>
      </x:c>
      <x:c r="C42" s="46" t="n">
        <x:v>5</x:v>
      </x:c>
      <x:c r="D42" s="46" t="str">
        <x:v>Go Concurrency</x:v>
      </x:c>
      <x:c r="E42" s="50" t="str">
        <x:v>Context cancellation</x:v>
      </x:c>
      <x:c r="F42" s="50" t="str">
        <x:v>Stop workers cleanly on cancellation</x:v>
      </x:c>
      <x:c r="G42" s="50" t="str">
        <x:v>Medium</x:v>
      </x:c>
      <x:c r="H42" s="50" t="n">
        <x:v>45</x:v>
      </x:c>
      <x:c r="I42" s="50" t="str"/>
      <x:c r="J42" s="50" t="str">
        <x:v>No goroutine leaks</x:v>
      </x:c>
      <x:c r="K42" s="50" t="str">
        <x:v>Not Started</x:v>
      </x:c>
      <x:c r="L42" s="50"/>
      <x:c r="M42" s="50" t="str"/>
      <x:c r="N42" s="50" t="str">
        <x:v>No</x:v>
      </x:c>
      <x:c r="O42" s="50"/>
      <x:c r="P42" s="50" t="str"/>
      <x:c r="Q42" s="50" t="str"/>
    </x:row>
    <x:row r="43">
      <x:c r="A43" s="46" t="n">
        <x:v>6</x:v>
      </x:c>
      <x:c r="B43" s="47" t="n">
        <x:v>46224</x:v>
      </x:c>
      <x:c r="C43" s="46" t="n">
        <x:v>6</x:v>
      </x:c>
      <x:c r="D43" s="46" t="str">
        <x:v>NeetCode 150</x:v>
      </x:c>
      <x:c r="E43" s="50" t="str">
        <x:v>Daily Temperatures</x:v>
      </x:c>
      <x:c r="F43" s="50" t="str">
        <x:v>Implement monotonic stack in Go</x:v>
      </x:c>
      <x:c r="G43" s="50" t="str">
        <x:v>Medium</x:v>
      </x:c>
      <x:c r="H43" s="50" t="n">
        <x:v>40</x:v>
      </x:c>
      <x:c r="I43" s="50" t="str">
        <x:v>https://leetcode.com/problems/daily-temperatures/</x:v>
      </x:c>
      <x:c r="J43" s="50" t="str">
        <x:v>Stack of indices</x:v>
      </x:c>
      <x:c r="K43" s="50" t="str">
        <x:v>Not Started</x:v>
      </x:c>
      <x:c r="L43" s="50"/>
      <x:c r="M43" s="50" t="str"/>
      <x:c r="N43" s="50" t="str">
        <x:v>No</x:v>
      </x:c>
      <x:c r="O43" s="50"/>
      <x:c r="P43" s="50" t="str"/>
      <x:c r="Q43" s="50" t="str"/>
    </x:row>
    <x:row r="44">
      <x:c r="A44" s="46" t="n">
        <x:v>6</x:v>
      </x:c>
      <x:c r="B44" s="47" t="n">
        <x:v>46224</x:v>
      </x:c>
      <x:c r="C44" s="46" t="n">
        <x:v>7</x:v>
      </x:c>
      <x:c r="D44" s="46" t="str">
        <x:v>NeetCode 150</x:v>
      </x:c>
      <x:c r="E44" s="50" t="str">
        <x:v>Kth Largest Element in an Array</x:v>
      </x:c>
      <x:c r="F44" s="50" t="str">
        <x:v>Implement heap-based solution in Go</x:v>
      </x:c>
      <x:c r="G44" s="50" t="str">
        <x:v>Medium</x:v>
      </x:c>
      <x:c r="H44" s="50" t="n">
        <x:v>45</x:v>
      </x:c>
      <x:c r="I44" s="50" t="str">
        <x:v>https://leetcode.com/problems/kth-largest-element-in-an-array/</x:v>
      </x:c>
      <x:c r="J44" s="50" t="str">
        <x:v>container/heap</x:v>
      </x:c>
      <x:c r="K44" s="50" t="str">
        <x:v>Not Started</x:v>
      </x:c>
      <x:c r="L44" s="50"/>
      <x:c r="M44" s="50" t="str"/>
      <x:c r="N44" s="50" t="str">
        <x:v>No</x:v>
      </x:c>
      <x:c r="O44" s="50"/>
      <x:c r="P44" s="50" t="str"/>
      <x:c r="Q44" s="50" t="str"/>
    </x:row>
    <x:row r="45">
      <x:c r="A45" s="46" t="n">
        <x:v>7</x:v>
      </x:c>
      <x:c r="B45" s="47" t="n">
        <x:v>46225</x:v>
      </x:c>
      <x:c r="C45" s="46" t="n">
        <x:v>1</x:v>
      </x:c>
      <x:c r="D45" s="46" t="str">
        <x:v>Mock Interview</x:v>
      </x:c>
      <x:c r="E45" s="50" t="str">
        <x:v>Interface coding under 15 minutes</x:v>
      </x:c>
      <x:c r="F45" s="50" t="str">
        <x:v>Blank editor; complete main; explain method set</x:v>
      </x:c>
      <x:c r="G45" s="50" t="str">
        <x:v>Medium</x:v>
      </x:c>
      <x:c r="H45" s="50" t="n">
        <x:v>30</x:v>
      </x:c>
      <x:c r="I45" s="50" t="str"/>
      <x:c r="J45" s="50" t="str">
        <x:v>No autocomplete</x:v>
      </x:c>
      <x:c r="K45" s="50" t="str">
        <x:v>Not Started</x:v>
      </x:c>
      <x:c r="L45" s="50"/>
      <x:c r="M45" s="50" t="str"/>
      <x:c r="N45" s="50" t="str">
        <x:v>No</x:v>
      </x:c>
      <x:c r="O45" s="50"/>
      <x:c r="P45" s="50" t="str"/>
      <x:c r="Q45" s="50" t="str"/>
    </x:row>
    <x:row r="46">
      <x:c r="A46" s="46" t="n">
        <x:v>7</x:v>
      </x:c>
      <x:c r="B46" s="47" t="n">
        <x:v>46225</x:v>
      </x:c>
      <x:c r="C46" s="46" t="n">
        <x:v>2</x:v>
      </x:c>
      <x:c r="D46" s="46" t="str">
        <x:v>Mock Interview</x:v>
      </x:c>
      <x:c r="E46" s="50" t="str">
        <x:v>Embedding coding under 15 minutes</x:v>
      </x:c>
      <x:c r="F46" s="50" t="str">
        <x:v>Blank editor; construct embedded struct correctly</x:v>
      </x:c>
      <x:c r="G46" s="50" t="str">
        <x:v>Medium</x:v>
      </x:c>
      <x:c r="H46" s="50" t="n">
        <x:v>30</x:v>
      </x:c>
      <x:c r="I46" s="50" t="str"/>
      <x:c r="J46" s="50" t="str">
        <x:v>No reference material</x:v>
      </x:c>
      <x:c r="K46" s="50" t="str">
        <x:v>Not Started</x:v>
      </x:c>
      <x:c r="L46" s="50"/>
      <x:c r="M46" s="50" t="str"/>
      <x:c r="N46" s="50" t="str">
        <x:v>No</x:v>
      </x:c>
      <x:c r="O46" s="50"/>
      <x:c r="P46" s="50" t="str"/>
      <x:c r="Q46" s="50" t="str"/>
    </x:row>
    <x:row r="47">
      <x:c r="A47" s="46" t="n">
        <x:v>7</x:v>
      </x:c>
      <x:c r="B47" s="47" t="n">
        <x:v>46225</x:v>
      </x:c>
      <x:c r="C47" s="46" t="n">
        <x:v>3</x:v>
      </x:c>
      <x:c r="D47" s="46" t="str">
        <x:v>Mock Interview</x:v>
      </x:c>
      <x:c r="E47" s="50" t="str">
        <x:v>Partition into k balanced slices</x:v>
      </x:c>
      <x:c r="F47" s="50" t="str">
        <x:v>Generalize yesterday's interview question</x:v>
      </x:c>
      <x:c r="G47" s="50" t="str">
        <x:v>Medium</x:v>
      </x:c>
      <x:c r="H47" s="50" t="n">
        <x:v>35</x:v>
      </x:c>
      <x:c r="I47" s="50" t="str"/>
      <x:c r="J47" s="50" t="str">
        <x:v>Handle k &gt; len(nums)</x:v>
      </x:c>
      <x:c r="K47" s="50" t="str">
        <x:v>Not Started</x:v>
      </x:c>
      <x:c r="L47" s="50"/>
      <x:c r="M47" s="50" t="str"/>
      <x:c r="N47" s="50" t="str">
        <x:v>No</x:v>
      </x:c>
      <x:c r="O47" s="50"/>
      <x:c r="P47" s="50" t="str"/>
      <x:c r="Q47" s="50" t="str"/>
    </x:row>
    <x:row r="48">
      <x:c r="A48" s="46" t="n">
        <x:v>7</x:v>
      </x:c>
      <x:c r="B48" s="47" t="n">
        <x:v>46225</x:v>
      </x:c>
      <x:c r="C48" s="46" t="n">
        <x:v>4</x:v>
      </x:c>
      <x:c r="D48" s="46" t="str">
        <x:v>Mock Interview</x:v>
      </x:c>
      <x:c r="E48" s="50" t="str">
        <x:v>Map and slice transformation</x:v>
      </x:c>
      <x:c r="F48" s="50" t="str">
        <x:v>Group, filter, and flatten input</x:v>
      </x:c>
      <x:c r="G48" s="50" t="str">
        <x:v>Medium</x:v>
      </x:c>
      <x:c r="H48" s="50" t="n">
        <x:v>40</x:v>
      </x:c>
      <x:c r="I48" s="50" t="str"/>
      <x:c r="J48" s="50" t="str">
        <x:v>Combines core syntax</x:v>
      </x:c>
      <x:c r="K48" s="50" t="str">
        <x:v>Not Started</x:v>
      </x:c>
      <x:c r="L48" s="50"/>
      <x:c r="M48" s="50" t="str"/>
      <x:c r="N48" s="50" t="str">
        <x:v>No</x:v>
      </x:c>
      <x:c r="O48" s="50"/>
      <x:c r="P48" s="50" t="str"/>
      <x:c r="Q48" s="50" t="str"/>
    </x:row>
    <x:row r="49">
      <x:c r="A49" s="46" t="n">
        <x:v>7</x:v>
      </x:c>
      <x:c r="B49" s="47" t="n">
        <x:v>46225</x:v>
      </x:c>
      <x:c r="C49" s="46" t="n">
        <x:v>5</x:v>
      </x:c>
      <x:c r="D49" s="46" t="str">
        <x:v>Mock Interview</x:v>
      </x:c>
      <x:c r="E49" s="50" t="str">
        <x:v>Small service design in code</x:v>
      </x:c>
      <x:c r="F49" s="50" t="str">
        <x:v>Interface + implementation + store + errors + main</x:v>
      </x:c>
      <x:c r="G49" s="50" t="str">
        <x:v>Medium</x:v>
      </x:c>
      <x:c r="H49" s="50" t="n">
        <x:v>60</x:v>
      </x:c>
      <x:c r="I49" s="50" t="str"/>
      <x:c r="J49" s="50" t="str">
        <x:v>Production-style naming</x:v>
      </x:c>
      <x:c r="K49" s="50" t="str">
        <x:v>Not Started</x:v>
      </x:c>
      <x:c r="L49" s="50"/>
      <x:c r="M49" s="50" t="str"/>
      <x:c r="N49" s="50" t="str">
        <x:v>No</x:v>
      </x:c>
      <x:c r="O49" s="50"/>
      <x:c r="P49" s="50" t="str"/>
      <x:c r="Q49" s="50" t="str"/>
    </x:row>
    <x:row r="50">
      <x:c r="A50" s="46" t="n">
        <x:v>7</x:v>
      </x:c>
      <x:c r="B50" s="47" t="n">
        <x:v>46225</x:v>
      </x:c>
      <x:c r="C50" s="46" t="n">
        <x:v>6</x:v>
      </x:c>
      <x:c r="D50" s="46" t="str">
        <x:v>NeetCode 150</x:v>
      </x:c>
      <x:c r="E50" s="50" t="str">
        <x:v>Merge Intervals</x:v>
      </x:c>
      <x:c r="F50" s="50" t="str">
        <x:v>Sort and merge in Go</x:v>
      </x:c>
      <x:c r="G50" s="50" t="str">
        <x:v>Medium</x:v>
      </x:c>
      <x:c r="H50" s="50" t="n">
        <x:v>45</x:v>
      </x:c>
      <x:c r="I50" s="50" t="str">
        <x:v>https://leetcode.com/problems/merge-intervals/</x:v>
      </x:c>
      <x:c r="J50" s="50" t="str">
        <x:v>Slice of slices</x:v>
      </x:c>
      <x:c r="K50" s="50" t="str">
        <x:v>Not Started</x:v>
      </x:c>
      <x:c r="L50" s="50"/>
      <x:c r="M50" s="50" t="str"/>
      <x:c r="N50" s="50" t="str">
        <x:v>No</x:v>
      </x:c>
      <x:c r="O50" s="50"/>
      <x:c r="P50" s="50" t="str"/>
      <x:c r="Q50" s="50" t="str"/>
    </x:row>
    <x:row r="51">
      <x:c r="A51" s="46" t="n">
        <x:v>7</x:v>
      </x:c>
      <x:c r="B51" s="47" t="n">
        <x:v>46225</x:v>
      </x:c>
      <x:c r="C51" s="46" t="n">
        <x:v>7</x:v>
      </x:c>
      <x:c r="D51" s="46" t="str">
        <x:v>NeetCode 150</x:v>
      </x:c>
      <x:c r="E51" s="50" t="str">
        <x:v>Number of Islands</x:v>
      </x:c>
      <x:c r="F51" s="50" t="str">
        <x:v>DFS or BFS in Go</x:v>
      </x:c>
      <x:c r="G51" s="50" t="str">
        <x:v>Medium</x:v>
      </x:c>
      <x:c r="H51" s="50" t="n">
        <x:v>50</x:v>
      </x:c>
      <x:c r="I51" s="50" t="str">
        <x:v>https://leetcode.com/problems/number-of-islands/</x:v>
      </x:c>
      <x:c r="J51" s="50" t="str">
        <x:v>Grid mutation and bounds</x:v>
      </x:c>
      <x:c r="K51" s="50" t="str">
        <x:v>Not Started</x:v>
      </x:c>
      <x:c r="L51" s="50"/>
      <x:c r="M51" s="50" t="str"/>
      <x:c r="N51" s="50" t="str">
        <x:v>No</x:v>
      </x:c>
      <x:c r="O51" s="50"/>
      <x:c r="P51" s="50" t="str"/>
      <x:c r="Q51" s="50" t="str"/>
    </x:row>
    <x:row r="52">
      <x:c r="A52" s="46" t="n">
        <x:v>7</x:v>
      </x:c>
      <x:c r="B52" s="47" t="n">
        <x:v>46225</x:v>
      </x:c>
      <x:c r="C52" s="46" t="n">
        <x:v>8</x:v>
      </x:c>
      <x:c r="D52" s="46" t="str">
        <x:v>Review</x:v>
      </x:c>
      <x:c r="E52" s="50" t="str">
        <x:v>Rewrite the week's 5 weakest problems</x:v>
      </x:c>
      <x:c r="F52" s="50" t="str">
        <x:v>Choose from Mistake Log; no hints</x:v>
      </x:c>
      <x:c r="G52" s="50" t="str">
        <x:v>Hard</x:v>
      </x:c>
      <x:c r="H52" s="50" t="n">
        <x:v>90</x:v>
      </x:c>
      <x:c r="I52" s="50" t="str"/>
      <x:c r="J52" s="50" t="str">
        <x:v>This is mandatory</x:v>
      </x:c>
      <x:c r="K52" s="50" t="str">
        <x:v>Not Started</x:v>
      </x:c>
      <x:c r="L52" s="50"/>
      <x:c r="M52" s="50" t="str"/>
      <x:c r="N52" s="50" t="str">
        <x:v>No</x:v>
      </x:c>
      <x:c r="O52" s="50"/>
      <x:c r="P52" s="50" t="str"/>
      <x:c r="Q52" s="50" t="str"/>
    </x:row>
  </x:sheetData>
  <x:conditionalFormatting sqref="K2:K52">
    <x:cfRule type="expression" dxfId="0" priority="1">
      <x:formula>K2="Done"</x:formula>
    </x:cfRule>
    <x:cfRule type="expression" dxfId="1" priority="2">
      <x:formula>K2="In Progress"</x:formula>
    </x:cfRule>
    <x:cfRule type="expression" dxfId="2" priority="3">
      <x:formula>K2="Blocked"</x:formula>
    </x:cfRule>
  </x:conditionalFormatting>
  <x:conditionalFormatting sqref="M2:M52">
    <x:cfRule type="expression" dxfId="3" priority="4">
      <x:formula>M2="Fail"</x:formula>
    </x:cfRule>
  </x:conditionalFormatting>
  <x:conditionalFormatting sqref="O2:O52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4">
    <x:dataValidation type="list" sqref="K2:K52">
      <x:formula1>"Not Started,In Progress,Done,Blocked"</x:formula1>
    </x:dataValidation>
    <x:dataValidation type="list" sqref="M2:M52">
      <x:formula1>"Pass,Partial,Fail"</x:formula1>
    </x:dataValidation>
    <x:dataValidation type="list" sqref="N2:N52">
      <x:formula1>"No,Yes"</x:formula1>
    </x:dataValidation>
    <x:dataValidation type="list" sqref="O2:O52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62f212d6cc4c9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12" hidden="0" customWidth="1"/>
  </x:cols>
  <x:sheetData>
    <x:row r="1">
      <x:c r="A1" s="26" t="str">
        <x:v>Topic</x:v>
      </x:c>
      <x:c r="B1" s="26" t="str">
        <x:v>Must Write Without Reference</x:v>
      </x:c>
      <x:c r="C1" s="26" t="str">
        <x:v>Interview Check</x:v>
      </x:c>
      <x:c r="D1" s="26" t="str">
        <x:v>Mastered?</x:v>
      </x:c>
    </x:row>
    <x:row r="2">
      <x:c r="A2" s="38" t="str">
        <x:v>Slices</x:v>
      </x:c>
      <x:c r="B2" s="38" t="str">
        <x:v>literal, make, append, copy, range, sub-slice, [][]int</x:v>
      </x:c>
      <x:c r="C2" s="38" t="str">
        <x:v>Can partition and modify slices correctly</x:v>
      </x:c>
      <x:c r="D2" s="38" t="str">
        <x:v>No</x:v>
      </x:c>
    </x:row>
    <x:row r="3">
      <x:c r="A3" s="38" t="str">
        <x:v>Maps</x:v>
      </x:c>
      <x:c r="B3" s="38" t="str">
        <x:v>make, literal, comma-ok, delete, range, nested maps</x:v>
      </x:c>
      <x:c r="C3" s="38" t="str">
        <x:v>Can build frequency/grouping solutions</x:v>
      </x:c>
      <x:c r="D3" s="38" t="str">
        <x:v>No</x:v>
      </x:c>
    </x:row>
    <x:row r="4">
      <x:c r="A4" s="38" t="str">
        <x:v>Structs</x:v>
      </x:c>
      <x:c r="B4" s="38" t="str">
        <x:v>literal, constructor, exported/unexported fields</x:v>
      </x:c>
      <x:c r="C4" s="38" t="str">
        <x:v>Can create and call from main</x:v>
      </x:c>
      <x:c r="D4" s="38" t="str">
        <x:v>No</x:v>
      </x:c>
    </x:row>
    <x:row r="5">
      <x:c r="A5" s="38" t="str">
        <x:v>Methods</x:v>
      </x:c>
      <x:c r="B5" s="38" t="str">
        <x:v>value receiver and pointer receiver</x:v>
      </x:c>
      <x:c r="C5" s="38" t="str">
        <x:v>Can explain and demonstrate mutation</x:v>
      </x:c>
      <x:c r="D5" s="38" t="str">
        <x:v>No</x:v>
      </x:c>
    </x:row>
    <x:row r="6">
      <x:c r="A6" s="38" t="str">
        <x:v>Interfaces</x:v>
      </x:c>
      <x:c r="B6" s="38" t="str">
        <x:v>define, implement implicitly, accept as parameter</x:v>
      </x:c>
      <x:c r="C6" s="38" t="str">
        <x:v>Can create two implementations and call them</x:v>
      </x:c>
      <x:c r="D6" s="38" t="str">
        <x:v>No</x:v>
      </x:c>
    </x:row>
    <x:row r="7">
      <x:c r="A7" s="38" t="str">
        <x:v>Embedding</x:v>
      </x:c>
      <x:c r="B7" s="38" t="str">
        <x:v>construct embedded type, promoted method, override</x:v>
      </x:c>
      <x:c r="C7" s="38" t="str">
        <x:v>Can explain composition vs inheritance</x:v>
      </x:c>
      <x:c r="D7" s="38" t="str">
        <x:v>No</x:v>
      </x:c>
    </x:row>
    <x:row r="8">
      <x:c r="A8" s="38" t="str">
        <x:v>Errors</x:v>
      </x:c>
      <x:c r="B8" s="38" t="str">
        <x:v>errors.New, fmt.Errorf, early return</x:v>
      </x:c>
      <x:c r="C8" s="38" t="str">
        <x:v>Does not ignore errors</x:v>
      </x:c>
      <x:c r="D8" s="38" t="str">
        <x:v>No</x:v>
      </x:c>
    </x:row>
    <x:row r="9">
      <x:c r="A9" s="38" t="str">
        <x:v>Functions</x:v>
      </x:c>
      <x:c r="B9" s="38" t="str">
        <x:v>multiple returns, variadic, closures</x:v>
      </x:c>
      <x:c r="C9" s="38" t="str">
        <x:v>Can write complete executable program</x:v>
      </x:c>
      <x:c r="D9" s="38" t="str">
        <x:v>No</x:v>
      </x:c>
    </x:row>
    <x:row r="10">
      <x:c r="A10" s="38" t="str">
        <x:v>Concurrency</x:v>
      </x:c>
      <x:c r="B10" s="38" t="str">
        <x:v>goroutine, channel direction, WaitGroup, context</x:v>
      </x:c>
      <x:c r="C10" s="38" t="str">
        <x:v>Can close channels with clear ownership</x:v>
      </x:c>
      <x:c r="D10" s="38" t="str">
        <x:v>No</x:v>
      </x:c>
    </x:row>
  </x:sheetData>
  <x:conditionalFormatting sqref="D2:D10">
    <x:cfRule type="expression" dxfId="4" priority="1">
      <x:formula>D2="Yes"</x:formula>
    </x:cfRule>
  </x:conditionalFormatting>
  <x:dataValidations count="1">
    <x:dataValidation type="list" sqref="D2:D10">
      <x:formula1>"No,Partial,Yes"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cea030f5484c1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6" hidden="0" customWidth="1"/>
    <x:col min="4" max="4" width="34" hidden="0" customWidth="1"/>
    <x:col min="5" max="5" width="34" hidden="0" customWidth="1"/>
    <x:col min="6" max="6" width="24" hidden="0" customWidth="1"/>
    <x:col min="7" max="7" width="30" hidden="0" customWidth="1"/>
    <x:col min="8" max="8" width="11" hidden="0" customWidth="1"/>
    <x:col min="9" max="9" width="11" hidden="0" customWidth="1"/>
    <x:col min="10" max="10" width="14" hidden="0" customWidth="1"/>
  </x:cols>
  <x:sheetData>
    <x:row r="1">
      <x:c r="A1" s="26" t="str">
        <x:v>Date</x:v>
      </x:c>
      <x:c r="B1" s="26" t="str">
        <x:v>Problem</x:v>
      </x:c>
      <x:c r="C1" s="26" t="str">
        <x:v>Error Type</x:v>
      </x:c>
      <x:c r="D1" s="26" t="str">
        <x:v>What I Wrote / Thought</x:v>
      </x:c>
      <x:c r="E1" s="26" t="str">
        <x:v>Correct Pattern</x:v>
      </x:c>
      <x:c r="F1" s="26" t="str">
        <x:v>Root Cause</x:v>
      </x:c>
      <x:c r="G1" s="26" t="str">
        <x:v>Fix Drill</x:v>
      </x:c>
      <x:c r="H1" s="26" t="str">
        <x:v>Repeated?</x:v>
      </x:c>
      <x:c r="I1" s="26" t="str">
        <x:v>Resolved?</x:v>
      </x:c>
      <x:c r="J1" s="26" t="str">
        <x:v>Re-test Date</x:v>
      </x:c>
    </x:row>
    <x:row r="2">
      <x:c r="A2" s="52"/>
      <x:c r="B2" s="38" t="str"/>
      <x:c r="C2" s="38" t="str"/>
      <x:c r="D2" s="38" t="str"/>
      <x:c r="E2" s="38" t="str"/>
      <x:c r="F2" s="38" t="str"/>
      <x:c r="G2" s="38" t="str"/>
      <x:c r="H2" s="38" t="str">
        <x:v>No</x:v>
      </x:c>
      <x:c r="I2" s="38" t="str">
        <x:v>No</x:v>
      </x:c>
      <x:c r="J2" s="52"/>
    </x:row>
    <x:row r="3">
      <x:c r="A3" s="52"/>
      <x:c r="B3" s="38" t="str"/>
      <x:c r="C3" s="38" t="str"/>
      <x:c r="D3" s="38" t="str"/>
      <x:c r="E3" s="38" t="str"/>
      <x:c r="F3" s="38" t="str"/>
      <x:c r="G3" s="38" t="str"/>
      <x:c r="H3" s="38" t="str">
        <x:v>No</x:v>
      </x:c>
      <x:c r="I3" s="38" t="str">
        <x:v>No</x:v>
      </x:c>
      <x:c r="J3" s="52"/>
    </x:row>
    <x:row r="4">
      <x:c r="A4" s="52"/>
      <x:c r="B4" s="38" t="str"/>
      <x:c r="C4" s="38" t="str"/>
      <x:c r="D4" s="38" t="str"/>
      <x:c r="E4" s="38" t="str"/>
      <x:c r="F4" s="38" t="str"/>
      <x:c r="G4" s="38" t="str"/>
      <x:c r="H4" s="38" t="str">
        <x:v>No</x:v>
      </x:c>
      <x:c r="I4" s="38" t="str">
        <x:v>No</x:v>
      </x:c>
      <x:c r="J4" s="52"/>
    </x:row>
    <x:row r="5">
      <x:c r="A5" s="52"/>
      <x:c r="B5" s="38" t="str"/>
      <x:c r="C5" s="38" t="str"/>
      <x:c r="D5" s="38" t="str"/>
      <x:c r="E5" s="38" t="str"/>
      <x:c r="F5" s="38" t="str"/>
      <x:c r="G5" s="38" t="str"/>
      <x:c r="H5" s="38" t="str">
        <x:v>No</x:v>
      </x:c>
      <x:c r="I5" s="38" t="str">
        <x:v>No</x:v>
      </x:c>
      <x:c r="J5" s="52"/>
    </x:row>
    <x:row r="6">
      <x:c r="A6" s="52"/>
      <x:c r="B6" s="38" t="str"/>
      <x:c r="C6" s="38" t="str"/>
      <x:c r="D6" s="38" t="str"/>
      <x:c r="E6" s="38" t="str"/>
      <x:c r="F6" s="38" t="str"/>
      <x:c r="G6" s="38" t="str"/>
      <x:c r="H6" s="38" t="str">
        <x:v>No</x:v>
      </x:c>
      <x:c r="I6" s="38" t="str">
        <x:v>No</x:v>
      </x:c>
      <x:c r="J6" s="52"/>
    </x:row>
    <x:row r="7">
      <x:c r="A7" s="52"/>
      <x:c r="B7" s="38" t="str"/>
      <x:c r="C7" s="38" t="str"/>
      <x:c r="D7" s="38" t="str"/>
      <x:c r="E7" s="38" t="str"/>
      <x:c r="F7" s="38" t="str"/>
      <x:c r="G7" s="38" t="str"/>
      <x:c r="H7" s="38" t="str">
        <x:v>No</x:v>
      </x:c>
      <x:c r="I7" s="38" t="str">
        <x:v>No</x:v>
      </x:c>
      <x:c r="J7" s="52"/>
    </x:row>
    <x:row r="8">
      <x:c r="A8" s="52"/>
      <x:c r="B8" s="38" t="str"/>
      <x:c r="C8" s="38" t="str"/>
      <x:c r="D8" s="38" t="str"/>
      <x:c r="E8" s="38" t="str"/>
      <x:c r="F8" s="38" t="str"/>
      <x:c r="G8" s="38" t="str"/>
      <x:c r="H8" s="38" t="str">
        <x:v>No</x:v>
      </x:c>
      <x:c r="I8" s="38" t="str">
        <x:v>No</x:v>
      </x:c>
      <x:c r="J8" s="52"/>
    </x:row>
    <x:row r="9">
      <x:c r="A9" s="52"/>
      <x:c r="B9" s="38" t="str"/>
      <x:c r="C9" s="38" t="str"/>
      <x:c r="D9" s="38" t="str"/>
      <x:c r="E9" s="38" t="str"/>
      <x:c r="F9" s="38" t="str"/>
      <x:c r="G9" s="38" t="str"/>
      <x:c r="H9" s="38" t="str">
        <x:v>No</x:v>
      </x:c>
      <x:c r="I9" s="38" t="str">
        <x:v>No</x:v>
      </x:c>
      <x:c r="J9" s="52"/>
    </x:row>
    <x:row r="10">
      <x:c r="A10" s="52"/>
      <x:c r="B10" s="38" t="str"/>
      <x:c r="C10" s="38" t="str"/>
      <x:c r="D10" s="38" t="str"/>
      <x:c r="E10" s="38" t="str"/>
      <x:c r="F10" s="38" t="str"/>
      <x:c r="G10" s="38" t="str"/>
      <x:c r="H10" s="38" t="str">
        <x:v>No</x:v>
      </x:c>
      <x:c r="I10" s="38" t="str">
        <x:v>No</x:v>
      </x:c>
      <x:c r="J10" s="52"/>
    </x:row>
    <x:row r="11">
      <x:c r="A11" s="52"/>
      <x:c r="B11" s="38" t="str"/>
      <x:c r="C11" s="38" t="str"/>
      <x:c r="D11" s="38" t="str"/>
      <x:c r="E11" s="38" t="str"/>
      <x:c r="F11" s="38" t="str"/>
      <x:c r="G11" s="38" t="str"/>
      <x:c r="H11" s="38" t="str">
        <x:v>No</x:v>
      </x:c>
      <x:c r="I11" s="38" t="str">
        <x:v>No</x:v>
      </x:c>
      <x:c r="J11" s="52"/>
    </x:row>
    <x:row r="12">
      <x:c r="A12" s="52"/>
      <x:c r="B12" s="38" t="str"/>
      <x:c r="C12" s="38" t="str"/>
      <x:c r="D12" s="38" t="str"/>
      <x:c r="E12" s="38" t="str"/>
      <x:c r="F12" s="38" t="str"/>
      <x:c r="G12" s="38" t="str"/>
      <x:c r="H12" s="38" t="str">
        <x:v>No</x:v>
      </x:c>
      <x:c r="I12" s="38" t="str">
        <x:v>No</x:v>
      </x:c>
      <x:c r="J12" s="52"/>
    </x:row>
    <x:row r="13">
      <x:c r="A13" s="52"/>
      <x:c r="B13" s="38" t="str"/>
      <x:c r="C13" s="38" t="str"/>
      <x:c r="D13" s="38" t="str"/>
      <x:c r="E13" s="38" t="str"/>
      <x:c r="F13" s="38" t="str"/>
      <x:c r="G13" s="38" t="str"/>
      <x:c r="H13" s="38" t="str">
        <x:v>No</x:v>
      </x:c>
      <x:c r="I13" s="38" t="str">
        <x:v>No</x:v>
      </x:c>
      <x:c r="J13" s="52"/>
    </x:row>
    <x:row r="14">
      <x:c r="A14" s="52"/>
      <x:c r="B14" s="38" t="str"/>
      <x:c r="C14" s="38" t="str"/>
      <x:c r="D14" s="38" t="str"/>
      <x:c r="E14" s="38" t="str"/>
      <x:c r="F14" s="38" t="str"/>
      <x:c r="G14" s="38" t="str"/>
      <x:c r="H14" s="38" t="str">
        <x:v>No</x:v>
      </x:c>
      <x:c r="I14" s="38" t="str">
        <x:v>No</x:v>
      </x:c>
      <x:c r="J14" s="52"/>
    </x:row>
    <x:row r="15">
      <x:c r="A15" s="52"/>
      <x:c r="B15" s="38" t="str"/>
      <x:c r="C15" s="38" t="str"/>
      <x:c r="D15" s="38" t="str"/>
      <x:c r="E15" s="38" t="str"/>
      <x:c r="F15" s="38" t="str"/>
      <x:c r="G15" s="38" t="str"/>
      <x:c r="H15" s="38" t="str">
        <x:v>No</x:v>
      </x:c>
      <x:c r="I15" s="38" t="str">
        <x:v>No</x:v>
      </x:c>
      <x:c r="J15" s="52"/>
    </x:row>
    <x:row r="16">
      <x:c r="A16" s="52"/>
      <x:c r="B16" s="38" t="str"/>
      <x:c r="C16" s="38" t="str"/>
      <x:c r="D16" s="38" t="str"/>
      <x:c r="E16" s="38" t="str"/>
      <x:c r="F16" s="38" t="str"/>
      <x:c r="G16" s="38" t="str"/>
      <x:c r="H16" s="38" t="str">
        <x:v>No</x:v>
      </x:c>
      <x:c r="I16" s="38" t="str">
        <x:v>No</x:v>
      </x:c>
      <x:c r="J16" s="52"/>
    </x:row>
    <x:row r="17">
      <x:c r="A17" s="52"/>
      <x:c r="B17" s="38" t="str"/>
      <x:c r="C17" s="38" t="str"/>
      <x:c r="D17" s="38" t="str"/>
      <x:c r="E17" s="38" t="str"/>
      <x:c r="F17" s="38" t="str"/>
      <x:c r="G17" s="38" t="str"/>
      <x:c r="H17" s="38" t="str">
        <x:v>No</x:v>
      </x:c>
      <x:c r="I17" s="38" t="str">
        <x:v>No</x:v>
      </x:c>
      <x:c r="J17" s="52"/>
    </x:row>
    <x:row r="18">
      <x:c r="A18" s="52"/>
      <x:c r="B18" s="38" t="str"/>
      <x:c r="C18" s="38" t="str"/>
      <x:c r="D18" s="38" t="str"/>
      <x:c r="E18" s="38" t="str"/>
      <x:c r="F18" s="38" t="str"/>
      <x:c r="G18" s="38" t="str"/>
      <x:c r="H18" s="38" t="str">
        <x:v>No</x:v>
      </x:c>
      <x:c r="I18" s="38" t="str">
        <x:v>No</x:v>
      </x:c>
      <x:c r="J18" s="52"/>
    </x:row>
    <x:row r="19">
      <x:c r="A19" s="52"/>
      <x:c r="B19" s="38" t="str"/>
      <x:c r="C19" s="38" t="str"/>
      <x:c r="D19" s="38" t="str"/>
      <x:c r="E19" s="38" t="str"/>
      <x:c r="F19" s="38" t="str"/>
      <x:c r="G19" s="38" t="str"/>
      <x:c r="H19" s="38" t="str">
        <x:v>No</x:v>
      </x:c>
      <x:c r="I19" s="38" t="str">
        <x:v>No</x:v>
      </x:c>
      <x:c r="J19" s="52"/>
    </x:row>
    <x:row r="20">
      <x:c r="A20" s="52"/>
      <x:c r="B20" s="38" t="str"/>
      <x:c r="C20" s="38" t="str"/>
      <x:c r="D20" s="38" t="str"/>
      <x:c r="E20" s="38" t="str"/>
      <x:c r="F20" s="38" t="str"/>
      <x:c r="G20" s="38" t="str"/>
      <x:c r="H20" s="38" t="str">
        <x:v>No</x:v>
      </x:c>
      <x:c r="I20" s="38" t="str">
        <x:v>No</x:v>
      </x:c>
      <x:c r="J20" s="52"/>
    </x:row>
    <x:row r="21">
      <x:c r="A21" s="52"/>
      <x:c r="B21" s="38" t="str"/>
      <x:c r="C21" s="38" t="str"/>
      <x:c r="D21" s="38" t="str"/>
      <x:c r="E21" s="38" t="str"/>
      <x:c r="F21" s="38" t="str"/>
      <x:c r="G21" s="38" t="str"/>
      <x:c r="H21" s="38" t="str">
        <x:v>No</x:v>
      </x:c>
      <x:c r="I21" s="38" t="str">
        <x:v>No</x:v>
      </x:c>
      <x:c r="J21" s="52"/>
    </x:row>
    <x:row r="22">
      <x:c r="A22" s="52"/>
      <x:c r="B22" s="38" t="str"/>
      <x:c r="C22" s="38" t="str"/>
      <x:c r="D22" s="38" t="str"/>
      <x:c r="E22" s="38" t="str"/>
      <x:c r="F22" s="38" t="str"/>
      <x:c r="G22" s="38" t="str"/>
      <x:c r="H22" s="38" t="str">
        <x:v>No</x:v>
      </x:c>
      <x:c r="I22" s="38" t="str">
        <x:v>No</x:v>
      </x:c>
      <x:c r="J22" s="52"/>
    </x:row>
    <x:row r="23">
      <x:c r="A23" s="52"/>
      <x:c r="B23" s="38" t="str"/>
      <x:c r="C23" s="38" t="str"/>
      <x:c r="D23" s="38" t="str"/>
      <x:c r="E23" s="38" t="str"/>
      <x:c r="F23" s="38" t="str"/>
      <x:c r="G23" s="38" t="str"/>
      <x:c r="H23" s="38" t="str">
        <x:v>No</x:v>
      </x:c>
      <x:c r="I23" s="38" t="str">
        <x:v>No</x:v>
      </x:c>
      <x:c r="J23" s="52"/>
    </x:row>
    <x:row r="24">
      <x:c r="A24" s="52"/>
      <x:c r="B24" s="38" t="str"/>
      <x:c r="C24" s="38" t="str"/>
      <x:c r="D24" s="38" t="str"/>
      <x:c r="E24" s="38" t="str"/>
      <x:c r="F24" s="38" t="str"/>
      <x:c r="G24" s="38" t="str"/>
      <x:c r="H24" s="38" t="str">
        <x:v>No</x:v>
      </x:c>
      <x:c r="I24" s="38" t="str">
        <x:v>No</x:v>
      </x:c>
      <x:c r="J24" s="52"/>
    </x:row>
    <x:row r="25">
      <x:c r="A25" s="52"/>
      <x:c r="B25" s="38" t="str"/>
      <x:c r="C25" s="38" t="str"/>
      <x:c r="D25" s="38" t="str"/>
      <x:c r="E25" s="38" t="str"/>
      <x:c r="F25" s="38" t="str"/>
      <x:c r="G25" s="38" t="str"/>
      <x:c r="H25" s="38" t="str">
        <x:v>No</x:v>
      </x:c>
      <x:c r="I25" s="38" t="str">
        <x:v>No</x:v>
      </x:c>
      <x:c r="J25" s="52"/>
    </x:row>
    <x:row r="26">
      <x:c r="A26" s="52"/>
      <x:c r="B26" s="38" t="str"/>
      <x:c r="C26" s="38" t="str"/>
      <x:c r="D26" s="38" t="str"/>
      <x:c r="E26" s="38" t="str"/>
      <x:c r="F26" s="38" t="str"/>
      <x:c r="G26" s="38" t="str"/>
      <x:c r="H26" s="38" t="str">
        <x:v>No</x:v>
      </x:c>
      <x:c r="I26" s="38" t="str">
        <x:v>No</x:v>
      </x:c>
      <x:c r="J26" s="52"/>
    </x:row>
    <x:row r="27">
      <x:c r="A27" s="52"/>
      <x:c r="B27" s="38" t="str"/>
      <x:c r="C27" s="38" t="str"/>
      <x:c r="D27" s="38" t="str"/>
      <x:c r="E27" s="38" t="str"/>
      <x:c r="F27" s="38" t="str"/>
      <x:c r="G27" s="38" t="str"/>
      <x:c r="H27" s="38" t="str">
        <x:v>No</x:v>
      </x:c>
      <x:c r="I27" s="38" t="str">
        <x:v>No</x:v>
      </x:c>
      <x:c r="J27" s="52"/>
    </x:row>
    <x:row r="28">
      <x:c r="A28" s="52"/>
      <x:c r="B28" s="38" t="str"/>
      <x:c r="C28" s="38" t="str"/>
      <x:c r="D28" s="38" t="str"/>
      <x:c r="E28" s="38" t="str"/>
      <x:c r="F28" s="38" t="str"/>
      <x:c r="G28" s="38" t="str"/>
      <x:c r="H28" s="38" t="str">
        <x:v>No</x:v>
      </x:c>
      <x:c r="I28" s="38" t="str">
        <x:v>No</x:v>
      </x:c>
      <x:c r="J28" s="52"/>
    </x:row>
    <x:row r="29">
      <x:c r="A29" s="52"/>
      <x:c r="B29" s="38" t="str"/>
      <x:c r="C29" s="38" t="str"/>
      <x:c r="D29" s="38" t="str"/>
      <x:c r="E29" s="38" t="str"/>
      <x:c r="F29" s="38" t="str"/>
      <x:c r="G29" s="38" t="str"/>
      <x:c r="H29" s="38" t="str">
        <x:v>No</x:v>
      </x:c>
      <x:c r="I29" s="38" t="str">
        <x:v>No</x:v>
      </x:c>
      <x:c r="J29" s="52"/>
    </x:row>
    <x:row r="30">
      <x:c r="A30" s="52"/>
      <x:c r="B30" s="38" t="str"/>
      <x:c r="C30" s="38" t="str"/>
      <x:c r="D30" s="38" t="str"/>
      <x:c r="E30" s="38" t="str"/>
      <x:c r="F30" s="38" t="str"/>
      <x:c r="G30" s="38" t="str"/>
      <x:c r="H30" s="38" t="str">
        <x:v>No</x:v>
      </x:c>
      <x:c r="I30" s="38" t="str">
        <x:v>No</x:v>
      </x:c>
      <x:c r="J30" s="52"/>
    </x:row>
    <x:row r="31">
      <x:c r="A31" s="52"/>
      <x:c r="B31" s="38" t="str"/>
      <x:c r="C31" s="38" t="str"/>
      <x:c r="D31" s="38" t="str"/>
      <x:c r="E31" s="38" t="str"/>
      <x:c r="F31" s="38" t="str"/>
      <x:c r="G31" s="38" t="str"/>
      <x:c r="H31" s="38" t="str">
        <x:v>No</x:v>
      </x:c>
      <x:c r="I31" s="38" t="str">
        <x:v>No</x:v>
      </x:c>
      <x:c r="J31" s="52"/>
    </x:row>
  </x:sheetData>
  <x:conditionalFormatting sqref="I2:I31">
    <x:cfRule type="expression" dxfId="5" priority="1">
      <x:formula>I2="Yes"</x:formula>
    </x:cfRule>
  </x:conditionalFormatting>
  <x:dataValidations count="2">
    <x:dataValidation type="list" sqref="C2:C31">
      <x:formula1>"Syntax,Logic,API Recall,Edge Case,Communication,Time Pressure"</x:formula1>
    </x:dataValidation>
    <x:dataValidation type="list" sqref="H2:I31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512cde99434e6a"/>
  </x:tableParts>
</x:worksheet>
</file>